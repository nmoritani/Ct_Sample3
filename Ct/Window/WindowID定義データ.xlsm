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kamura.yuki\Desktop\Work\01_Source\Ct_k519_TestEnv\Ct\Window\"/>
    </mc:Choice>
  </mc:AlternateContent>
  <bookViews>
    <workbookView xWindow="0" yWindow="0" windowWidth="28800" windowHeight="11775" tabRatio="826" activeTab="1"/>
  </bookViews>
  <sheets>
    <sheet name="概要" sheetId="27" r:id="rId1"/>
    <sheet name="ID一覧" sheetId="20" r:id="rId2"/>
    <sheet name="定義編集" sheetId="28" r:id="rId3"/>
    <sheet name="定義一覧" sheetId="29" r:id="rId4"/>
    <sheet name="自動取得" sheetId="13" r:id="rId5"/>
  </sheets>
  <functionGroups builtInGroupCount="18"/>
  <definedNames>
    <definedName name="_xlnm._FilterDatabase" localSheetId="1" hidden="1">ID一覧!$H$4:$K$234</definedName>
    <definedName name="AllCommonSub1リスト">定義一覧!$C$17</definedName>
    <definedName name="AllCommonSub2リスト">定義一覧!$D$17</definedName>
    <definedName name="AllMessageSub1リスト">定義一覧!$C$33:$C$38</definedName>
    <definedName name="AllMessageSub2リスト">定義一覧!$D$33:$D$35</definedName>
    <definedName name="AllNoneSub1リスト">定義一覧!$C$1</definedName>
    <definedName name="AllNoneSub2リスト">定義一覧!$D$1</definedName>
    <definedName name="DummyCommonSub1リスト">定義一覧!$S$17</definedName>
    <definedName name="DummyCommonSub2リスト">定義一覧!$T$17</definedName>
    <definedName name="DummyMessageSub1リスト">定義一覧!$S$33:$S$38</definedName>
    <definedName name="DummyMessageSub2リスト">定義一覧!$T$33:$T$35</definedName>
    <definedName name="DummyNoneSub1リスト">定義一覧!$S$1</definedName>
    <definedName name="DummyNoneSub2リスト">定義一覧!$T$1</definedName>
    <definedName name="FactCommonSub1リスト">定義一覧!$M$17:$M$22</definedName>
    <definedName name="FactCommonSub2リスト">定義一覧!$N$17</definedName>
    <definedName name="FactMessageSub1リスト">定義一覧!$M$33:$M$38</definedName>
    <definedName name="FactMessageSub2リスト">定義一覧!$N$33:$N$35</definedName>
    <definedName name="FactNoneSub1リスト">定義一覧!$M$1</definedName>
    <definedName name="FactNoneSub2リスト">定義一覧!$N$1</definedName>
    <definedName name="HomeCommonSub1リスト">定義一覧!$I$17:$I$20</definedName>
    <definedName name="HomeCommonSub2リスト">定義一覧!$J$17</definedName>
    <definedName name="HomeMessageSub1リスト">定義一覧!$I$33:$I$38</definedName>
    <definedName name="HomeMessageSub2リスト">定義一覧!$J$33:$J$35</definedName>
    <definedName name="HomeNoneSub1リスト">定義一覧!$I$1</definedName>
    <definedName name="HomeNoneSub2リスト">定義一覧!$J$1</definedName>
    <definedName name="Mainリスト">定義一覧!$A$1:$A$9</definedName>
    <definedName name="MenuCommonSub1リスト">定義一覧!$K$17:$K$29</definedName>
    <definedName name="MenuCommonSub2リスト">定義一覧!$L$17:$L$25</definedName>
    <definedName name="MenuMessageSub1リスト">定義一覧!$K$33:$K$38</definedName>
    <definedName name="MenuMessageSub2リスト">定義一覧!$L$33:$L$35</definedName>
    <definedName name="MenuNoneSub1リスト">定義一覧!$K$1</definedName>
    <definedName name="MenuNoneSub2リスト">定義一覧!$L$1</definedName>
    <definedName name="OtherCommonSub1リスト">定義一覧!$O$17:$O$21</definedName>
    <definedName name="OtherCommonSub2リスト">定義一覧!$P$17</definedName>
    <definedName name="OtherMessageSub1リスト">定義一覧!$O$33:$O$38</definedName>
    <definedName name="OtherMessageSub2リスト">定義一覧!$P$33:$P$35</definedName>
    <definedName name="OtherNoneSub1リスト">定義一覧!$O$1</definedName>
    <definedName name="OtherNoneSub2リスト">定義一覧!$P$1</definedName>
    <definedName name="PlayCommonSub1リスト">定義一覧!$G$17:$G$21</definedName>
    <definedName name="PlayCommonSub2リスト">定義一覧!$H$17</definedName>
    <definedName name="PlayMessageSub1リスト">定義一覧!$G$33:$G$38</definedName>
    <definedName name="PlayMessageSub2リスト">定義一覧!$H$33:$H$35</definedName>
    <definedName name="PlayNoneSub1リスト">定義一覧!$G$1</definedName>
    <definedName name="PlayNoneSub2リスト">定義一覧!$H$1</definedName>
    <definedName name="RecCommonSub1リスト">定義一覧!$E$17:$E$20</definedName>
    <definedName name="RecCommonSub2リスト">定義一覧!$F$17</definedName>
    <definedName name="RecMessageSub1リスト">定義一覧!$E$33:$E$38</definedName>
    <definedName name="RecMessageSub2リスト">定義一覧!$F$33:$F$35</definedName>
    <definedName name="RecNoneSub1リスト">定義一覧!$E$1</definedName>
    <definedName name="RecNoneSub2リスト">定義一覧!$F$1</definedName>
    <definedName name="Typeリスト">定義一覧!$B$1:$B$3</definedName>
    <definedName name="WorkCommonSub1リスト">定義一覧!$Q$17:$Q$20</definedName>
    <definedName name="WorkCommonSub2リスト">定義一覧!$R$17</definedName>
    <definedName name="WorkMessageSub1リスト">定義一覧!$Q$33:$Q$38</definedName>
    <definedName name="WorkMessageSub2リスト">定義一覧!$R$33:$R$35</definedName>
    <definedName name="WorkNoneSub1リスト">定義一覧!$Q$1</definedName>
    <definedName name="WorkNoneSub2リスト">定義一覧!$R$1</definedName>
  </definedNames>
  <calcPr calcId="162913"/>
  <customWorkbookViews>
    <customWorkbookView name="中村 勇貴 - 個人用ビュー" guid="{A0D69966-0D44-4D49-B361-5B5CC0F8EF6C}" mergeInterval="0" personalView="1" maximized="1" windowWidth="1920" windowHeight="970" activeSheetId="1"/>
  </customWorkbookViews>
  <fileRecoveryPr autoRecover="0"/>
</workbook>
</file>

<file path=xl/calcChain.xml><?xml version="1.0" encoding="utf-8"?>
<calcChain xmlns="http://schemas.openxmlformats.org/spreadsheetml/2006/main">
  <c r="C41" i="20" l="1"/>
  <c r="B41" i="20"/>
  <c r="D41" i="20"/>
  <c r="E41" i="20"/>
  <c r="B198" i="20" l="1"/>
  <c r="C198" i="20"/>
  <c r="B199" i="20"/>
  <c r="C199" i="20"/>
  <c r="B200" i="20"/>
  <c r="C200" i="20"/>
  <c r="B160" i="20"/>
  <c r="C160" i="20"/>
  <c r="B161" i="20"/>
  <c r="C161" i="20"/>
  <c r="B162" i="20"/>
  <c r="C162" i="20"/>
  <c r="B163" i="20"/>
  <c r="C163" i="20"/>
  <c r="B56" i="20"/>
  <c r="C56" i="20"/>
  <c r="B57" i="20"/>
  <c r="C57" i="20"/>
  <c r="B58" i="20"/>
  <c r="C58" i="20"/>
  <c r="B59" i="20"/>
  <c r="C59" i="20"/>
  <c r="B60" i="20"/>
  <c r="C60" i="20"/>
  <c r="B26" i="20"/>
  <c r="C26" i="20"/>
  <c r="B27" i="20"/>
  <c r="C27" i="20"/>
  <c r="B28" i="20"/>
  <c r="C28" i="20"/>
  <c r="B29" i="20"/>
  <c r="C29" i="20"/>
  <c r="B30" i="20"/>
  <c r="C30" i="20"/>
  <c r="B31" i="20"/>
  <c r="C31" i="20"/>
  <c r="B32" i="20"/>
  <c r="C32" i="20"/>
  <c r="E29" i="20"/>
  <c r="D28" i="20"/>
  <c r="D31" i="20"/>
  <c r="D161" i="20"/>
  <c r="D58" i="20"/>
  <c r="E163" i="20"/>
  <c r="E160" i="20"/>
  <c r="D199" i="20"/>
  <c r="D163" i="20"/>
  <c r="E58" i="20"/>
  <c r="E200" i="20"/>
  <c r="D57" i="20"/>
  <c r="E27" i="20"/>
  <c r="D56" i="20"/>
  <c r="D29" i="20"/>
  <c r="D200" i="20"/>
  <c r="D60" i="20"/>
  <c r="D162" i="20"/>
  <c r="E31" i="20"/>
  <c r="E56" i="20"/>
  <c r="D198" i="20"/>
  <c r="D27" i="20"/>
  <c r="E26" i="20"/>
  <c r="D32" i="20"/>
  <c r="D59" i="20"/>
  <c r="E30" i="20"/>
  <c r="E60" i="20"/>
  <c r="E32" i="20"/>
  <c r="E161" i="20"/>
  <c r="E28" i="20"/>
  <c r="E199" i="20"/>
  <c r="E198" i="20"/>
  <c r="E57" i="20"/>
  <c r="D26" i="20"/>
  <c r="E162" i="20"/>
  <c r="E59" i="20"/>
  <c r="D30" i="20"/>
  <c r="D160" i="20"/>
  <c r="B7" i="20" l="1"/>
  <c r="C7" i="20"/>
  <c r="B8" i="20"/>
  <c r="C8" i="20"/>
  <c r="B9" i="20"/>
  <c r="C9" i="20"/>
  <c r="B10" i="20"/>
  <c r="C10" i="20"/>
  <c r="B11" i="20"/>
  <c r="C11" i="20"/>
  <c r="B12" i="20"/>
  <c r="C12" i="20"/>
  <c r="B13" i="20"/>
  <c r="C13" i="20"/>
  <c r="B14" i="20"/>
  <c r="C14" i="20"/>
  <c r="B15" i="20"/>
  <c r="C15" i="20"/>
  <c r="B159" i="20"/>
  <c r="C159" i="20"/>
  <c r="B136" i="20"/>
  <c r="C136" i="20"/>
  <c r="E14" i="20"/>
  <c r="D12" i="20"/>
  <c r="E159" i="20"/>
  <c r="E136" i="20"/>
  <c r="E10" i="20"/>
  <c r="D8" i="20"/>
  <c r="E12" i="20"/>
  <c r="D14" i="20"/>
  <c r="E13" i="20"/>
  <c r="D13" i="20"/>
  <c r="D136" i="20"/>
  <c r="D9" i="20"/>
  <c r="E7" i="20"/>
  <c r="E15" i="20"/>
  <c r="E9" i="20"/>
  <c r="D15" i="20"/>
  <c r="D7" i="20"/>
  <c r="E8" i="20"/>
  <c r="D10" i="20"/>
  <c r="D11" i="20"/>
  <c r="D159" i="20"/>
  <c r="E11" i="20"/>
  <c r="B5" i="20" l="1"/>
  <c r="C5" i="20"/>
  <c r="D5" i="20"/>
  <c r="E5" i="20"/>
  <c r="B187" i="20" l="1"/>
  <c r="C187" i="20"/>
  <c r="D187" i="20"/>
  <c r="E187" i="20"/>
  <c r="B6" i="20" l="1"/>
  <c r="C6" i="20"/>
  <c r="D192" i="20"/>
  <c r="D164" i="20"/>
  <c r="E119" i="20"/>
  <c r="D129" i="20"/>
  <c r="E174" i="20"/>
  <c r="E181" i="20"/>
  <c r="D201" i="20"/>
  <c r="D89" i="20"/>
  <c r="E101" i="20"/>
  <c r="E19" i="20"/>
  <c r="E175" i="20"/>
  <c r="D170" i="20"/>
  <c r="E6" i="20"/>
  <c r="D20" i="20"/>
  <c r="D62" i="20"/>
  <c r="E104" i="20"/>
  <c r="D177" i="20"/>
  <c r="D88" i="20"/>
  <c r="D226" i="20"/>
  <c r="D218" i="20"/>
  <c r="E210" i="20"/>
  <c r="E117" i="20"/>
  <c r="D179" i="20"/>
  <c r="E49" i="20"/>
  <c r="E105" i="20"/>
  <c r="D110" i="20"/>
  <c r="D119" i="20"/>
  <c r="D152" i="20"/>
  <c r="E108" i="20"/>
  <c r="E115" i="20"/>
  <c r="D158" i="20"/>
  <c r="D16" i="20"/>
  <c r="D128" i="20"/>
  <c r="E206" i="20"/>
  <c r="D61" i="20"/>
  <c r="E91" i="20"/>
  <c r="E88" i="20"/>
  <c r="E51" i="20"/>
  <c r="D25" i="20"/>
  <c r="D113" i="20"/>
  <c r="E151" i="20"/>
  <c r="E208" i="20"/>
  <c r="E216" i="20"/>
  <c r="D134" i="20"/>
  <c r="E173" i="20"/>
  <c r="E143" i="20"/>
  <c r="E168" i="20"/>
  <c r="D87" i="20"/>
  <c r="E79" i="20"/>
  <c r="E182" i="20"/>
  <c r="D219" i="20"/>
  <c r="E123" i="20"/>
  <c r="D182" i="20"/>
  <c r="E205" i="20"/>
  <c r="E118" i="20"/>
  <c r="E193" i="20"/>
  <c r="D112" i="20"/>
  <c r="E225" i="20"/>
  <c r="D23" i="20"/>
  <c r="E139" i="20"/>
  <c r="E50" i="20"/>
  <c r="E122" i="20"/>
  <c r="E171" i="20"/>
  <c r="E129" i="20"/>
  <c r="E97" i="20"/>
  <c r="E82" i="20"/>
  <c r="E153" i="20"/>
  <c r="D194" i="20"/>
  <c r="E70" i="20"/>
  <c r="D167" i="20"/>
  <c r="D135" i="20"/>
  <c r="D33" i="20"/>
  <c r="D195" i="20"/>
  <c r="E135" i="20"/>
  <c r="D166" i="20"/>
  <c r="E140" i="20"/>
  <c r="D52" i="20"/>
  <c r="E124" i="20"/>
  <c r="E111" i="20"/>
  <c r="E180" i="20"/>
  <c r="D74" i="20"/>
  <c r="D43" i="20"/>
  <c r="E45" i="20"/>
  <c r="E185" i="20"/>
  <c r="E44" i="20"/>
  <c r="E179" i="20"/>
  <c r="D70" i="20"/>
  <c r="E201" i="20"/>
  <c r="E154" i="20"/>
  <c r="E130" i="20"/>
  <c r="D140" i="20"/>
  <c r="D196" i="20"/>
  <c r="E177" i="20"/>
  <c r="D47" i="20"/>
  <c r="D55" i="20"/>
  <c r="E85" i="20"/>
  <c r="D222" i="20"/>
  <c r="D126" i="20"/>
  <c r="D104" i="20"/>
  <c r="E221" i="20"/>
  <c r="E155" i="20"/>
  <c r="E184" i="20"/>
  <c r="E69" i="20"/>
  <c r="D148" i="20"/>
  <c r="E226" i="20"/>
  <c r="D108" i="20"/>
  <c r="D131" i="20"/>
  <c r="E23" i="20"/>
  <c r="D156" i="20"/>
  <c r="D40" i="20"/>
  <c r="D114" i="20"/>
  <c r="E203" i="20"/>
  <c r="E22" i="20"/>
  <c r="E231" i="20"/>
  <c r="E195" i="20"/>
  <c r="E215" i="20"/>
  <c r="E75" i="20"/>
  <c r="E152" i="20"/>
  <c r="D24" i="20"/>
  <c r="D155" i="20"/>
  <c r="E100" i="20"/>
  <c r="E190" i="20"/>
  <c r="D178" i="20"/>
  <c r="D138" i="20"/>
  <c r="D71" i="20"/>
  <c r="D147" i="20"/>
  <c r="D85" i="20"/>
  <c r="E90" i="20"/>
  <c r="D233" i="20"/>
  <c r="E212" i="20"/>
  <c r="D90" i="20"/>
  <c r="E183" i="20"/>
  <c r="D48" i="20"/>
  <c r="E186" i="20"/>
  <c r="E86" i="20"/>
  <c r="D19" i="20"/>
  <c r="D124" i="20"/>
  <c r="E189" i="20"/>
  <c r="E228" i="20"/>
  <c r="E18" i="20"/>
  <c r="E73" i="20"/>
  <c r="E80" i="20"/>
  <c r="E78" i="20"/>
  <c r="E178" i="20"/>
  <c r="E20" i="20"/>
  <c r="E156" i="20"/>
  <c r="D221" i="20"/>
  <c r="D83" i="20"/>
  <c r="E224" i="20"/>
  <c r="E164" i="20"/>
  <c r="D139" i="20"/>
  <c r="E35" i="20"/>
  <c r="D76" i="20"/>
  <c r="D36" i="20"/>
  <c r="D18" i="20"/>
  <c r="E144" i="20"/>
  <c r="E77" i="20"/>
  <c r="E83" i="20"/>
  <c r="E145" i="20"/>
  <c r="E55" i="20"/>
  <c r="E157" i="20"/>
  <c r="D186" i="20"/>
  <c r="D151" i="20"/>
  <c r="E39" i="20"/>
  <c r="E63" i="20"/>
  <c r="E94" i="20"/>
  <c r="E116" i="20"/>
  <c r="E176" i="20"/>
  <c r="D150" i="20"/>
  <c r="D66" i="20"/>
  <c r="D82" i="20"/>
  <c r="E150" i="20"/>
  <c r="D153" i="20"/>
  <c r="E72" i="20"/>
  <c r="E170" i="20"/>
  <c r="D6" i="20"/>
  <c r="E113" i="20"/>
  <c r="D99" i="20"/>
  <c r="D175" i="20"/>
  <c r="D203" i="20"/>
  <c r="D211" i="20"/>
  <c r="D111" i="20"/>
  <c r="E121" i="20"/>
  <c r="E92" i="20"/>
  <c r="E125" i="20"/>
  <c r="E65" i="20"/>
  <c r="E167" i="20"/>
  <c r="D220" i="20"/>
  <c r="E52" i="20"/>
  <c r="D190" i="20"/>
  <c r="D231" i="20"/>
  <c r="D208" i="20"/>
  <c r="E24" i="20"/>
  <c r="E98" i="20"/>
  <c r="D176" i="20"/>
  <c r="D102" i="20"/>
  <c r="D191" i="20"/>
  <c r="E217" i="20"/>
  <c r="E134" i="20"/>
  <c r="E230" i="20"/>
  <c r="D227" i="20"/>
  <c r="D209" i="20"/>
  <c r="D146" i="20"/>
  <c r="E102" i="20"/>
  <c r="D103" i="20"/>
  <c r="E220" i="20"/>
  <c r="D68" i="20"/>
  <c r="D78" i="20"/>
  <c r="D81" i="20"/>
  <c r="E38" i="20"/>
  <c r="E106" i="20"/>
  <c r="E42" i="20"/>
  <c r="D232" i="20"/>
  <c r="D207" i="20"/>
  <c r="E40" i="20"/>
  <c r="E158" i="20"/>
  <c r="E110" i="20"/>
  <c r="E53" i="20"/>
  <c r="D37" i="20"/>
  <c r="E191" i="20"/>
  <c r="E222" i="20"/>
  <c r="D39" i="20"/>
  <c r="D197" i="20"/>
  <c r="D185" i="20"/>
  <c r="D215" i="20"/>
  <c r="D44" i="20"/>
  <c r="E209" i="20"/>
  <c r="E229" i="20"/>
  <c r="D143" i="20"/>
  <c r="E43" i="20"/>
  <c r="D46" i="20"/>
  <c r="D217" i="20"/>
  <c r="D84" i="20"/>
  <c r="D73" i="20"/>
  <c r="E204" i="20"/>
  <c r="D34" i="20"/>
  <c r="E218" i="20"/>
  <c r="E87" i="20"/>
  <c r="D97" i="20"/>
  <c r="E128" i="20"/>
  <c r="D63" i="20"/>
  <c r="E197" i="20"/>
  <c r="D142" i="20"/>
  <c r="D107" i="20"/>
  <c r="E62" i="20"/>
  <c r="D165" i="20"/>
  <c r="D17" i="20"/>
  <c r="D193" i="20"/>
  <c r="D100" i="20"/>
  <c r="D229" i="20"/>
  <c r="D106" i="20"/>
  <c r="D38" i="20"/>
  <c r="E148" i="20"/>
  <c r="D154" i="20"/>
  <c r="D210" i="20"/>
  <c r="E54" i="20"/>
  <c r="E114" i="20"/>
  <c r="E99" i="20"/>
  <c r="D137" i="20"/>
  <c r="D121" i="20"/>
  <c r="E126" i="20"/>
  <c r="E36" i="20"/>
  <c r="D130" i="20"/>
  <c r="E95" i="20"/>
  <c r="E146" i="20"/>
  <c r="D189" i="20"/>
  <c r="D181" i="20"/>
  <c r="D204" i="20"/>
  <c r="D225" i="20"/>
  <c r="E66" i="20"/>
  <c r="D116" i="20"/>
  <c r="E188" i="20"/>
  <c r="D127" i="20"/>
  <c r="D94" i="20"/>
  <c r="D228" i="20"/>
  <c r="E142" i="20"/>
  <c r="E137" i="20"/>
  <c r="E17" i="20"/>
  <c r="E84" i="20"/>
  <c r="D216" i="20"/>
  <c r="E165" i="20"/>
  <c r="D122" i="20"/>
  <c r="E107" i="20"/>
  <c r="D92" i="20"/>
  <c r="D141" i="20"/>
  <c r="D79" i="20"/>
  <c r="D105" i="20"/>
  <c r="D173" i="20"/>
  <c r="E147" i="20"/>
  <c r="D98" i="20"/>
  <c r="D117" i="20"/>
  <c r="D205" i="20"/>
  <c r="D50" i="20"/>
  <c r="E47" i="20"/>
  <c r="D206" i="20"/>
  <c r="E74" i="20"/>
  <c r="E133" i="20"/>
  <c r="E211" i="20"/>
  <c r="D174" i="20"/>
  <c r="E194" i="20"/>
  <c r="E169" i="20"/>
  <c r="E131" i="20"/>
  <c r="D172" i="20"/>
  <c r="D125" i="20"/>
  <c r="E233" i="20"/>
  <c r="D75" i="20"/>
  <c r="D54" i="20"/>
  <c r="E89" i="20"/>
  <c r="E223" i="20"/>
  <c r="D145" i="20"/>
  <c r="E166" i="20"/>
  <c r="D22" i="20"/>
  <c r="D224" i="20"/>
  <c r="E232" i="20"/>
  <c r="D183" i="20"/>
  <c r="E34" i="20"/>
  <c r="D230" i="20"/>
  <c r="D86" i="20"/>
  <c r="D133" i="20"/>
  <c r="E96" i="20"/>
  <c r="D169" i="20"/>
  <c r="E46" i="20"/>
  <c r="E71" i="20"/>
  <c r="D109" i="20"/>
  <c r="E21" i="20"/>
  <c r="E112" i="20"/>
  <c r="D171" i="20"/>
  <c r="D115" i="20"/>
  <c r="D72" i="20"/>
  <c r="D69" i="20"/>
  <c r="E213" i="20"/>
  <c r="E16" i="20"/>
  <c r="D51" i="20"/>
  <c r="D213" i="20"/>
  <c r="D132" i="20"/>
  <c r="E61" i="20"/>
  <c r="E33" i="20"/>
  <c r="D223" i="20"/>
  <c r="D180" i="20"/>
  <c r="E68" i="20"/>
  <c r="E64" i="20"/>
  <c r="D49" i="20"/>
  <c r="E214" i="20"/>
  <c r="D96" i="20"/>
  <c r="D21" i="20"/>
  <c r="D123" i="20"/>
  <c r="E48" i="20"/>
  <c r="D65" i="20"/>
  <c r="E172" i="20"/>
  <c r="D168" i="20"/>
  <c r="E202" i="20"/>
  <c r="E127" i="20"/>
  <c r="E93" i="20"/>
  <c r="E234" i="20"/>
  <c r="D149" i="20"/>
  <c r="E141" i="20"/>
  <c r="E227" i="20"/>
  <c r="D64" i="20"/>
  <c r="D214" i="20"/>
  <c r="D93" i="20"/>
  <c r="E207" i="20"/>
  <c r="D184" i="20"/>
  <c r="D45" i="20"/>
  <c r="E149" i="20"/>
  <c r="E25" i="20"/>
  <c r="E219" i="20"/>
  <c r="E109" i="20"/>
  <c r="D53" i="20"/>
  <c r="D35" i="20"/>
  <c r="D144" i="20"/>
  <c r="D120" i="20"/>
  <c r="E76" i="20"/>
  <c r="D95" i="20"/>
  <c r="D202" i="20"/>
  <c r="D42" i="20"/>
  <c r="D80" i="20"/>
  <c r="E196" i="20"/>
  <c r="E81" i="20"/>
  <c r="E37" i="20"/>
  <c r="D77" i="20"/>
  <c r="D91" i="20"/>
  <c r="D101" i="20"/>
  <c r="D188" i="20"/>
  <c r="E120" i="20"/>
  <c r="E103" i="20"/>
  <c r="D212" i="20"/>
  <c r="D118" i="20"/>
  <c r="E192" i="20"/>
  <c r="D234" i="20"/>
  <c r="E67" i="20"/>
  <c r="E138" i="20"/>
  <c r="D157" i="20"/>
  <c r="E132" i="20"/>
  <c r="D67" i="20"/>
  <c r="C16" i="20" l="1"/>
  <c r="C17" i="20"/>
  <c r="C18" i="20"/>
  <c r="C19" i="20"/>
  <c r="C20" i="20"/>
  <c r="C21" i="20"/>
  <c r="C22" i="20"/>
  <c r="C23" i="20"/>
  <c r="C24" i="20"/>
  <c r="C25" i="20"/>
  <c r="C33" i="20"/>
  <c r="C34" i="20"/>
  <c r="C35" i="20"/>
  <c r="C36" i="20"/>
  <c r="C37" i="20"/>
  <c r="C38" i="20"/>
  <c r="C39" i="20"/>
  <c r="C40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8" i="20"/>
  <c r="C189" i="20"/>
  <c r="C190" i="20"/>
  <c r="C191" i="20"/>
  <c r="C192" i="20"/>
  <c r="C193" i="20"/>
  <c r="C194" i="20"/>
  <c r="C195" i="20"/>
  <c r="C196" i="20"/>
  <c r="C197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B234" i="20"/>
  <c r="B16" i="20"/>
  <c r="B17" i="20"/>
  <c r="B18" i="20"/>
  <c r="B19" i="20"/>
  <c r="B20" i="20"/>
  <c r="B21" i="20"/>
  <c r="B22" i="20"/>
  <c r="B23" i="20"/>
  <c r="B24" i="20"/>
  <c r="B25" i="20"/>
  <c r="B33" i="20"/>
  <c r="B34" i="20"/>
  <c r="B35" i="20"/>
  <c r="B36" i="20"/>
  <c r="B37" i="20"/>
  <c r="B38" i="20"/>
  <c r="B39" i="20"/>
  <c r="B40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8" i="20"/>
  <c r="B189" i="20"/>
  <c r="B190" i="20"/>
  <c r="B191" i="20"/>
  <c r="B192" i="20"/>
  <c r="B193" i="20"/>
  <c r="B194" i="20"/>
  <c r="B195" i="20"/>
  <c r="B196" i="20"/>
  <c r="B197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</calcChain>
</file>

<file path=xl/sharedStrings.xml><?xml version="1.0" encoding="utf-8"?>
<sst xmlns="http://schemas.openxmlformats.org/spreadsheetml/2006/main" count="2457" uniqueCount="1214">
  <si>
    <t>Window_001</t>
  </si>
  <si>
    <t>Window_002</t>
  </si>
  <si>
    <t>Window_003</t>
  </si>
  <si>
    <t>Window_004</t>
  </si>
  <si>
    <t>Window_005</t>
  </si>
  <si>
    <t>Window_006</t>
  </si>
  <si>
    <t>Window_007</t>
  </si>
  <si>
    <t>Window_008</t>
  </si>
  <si>
    <t>Window_009</t>
  </si>
  <si>
    <t>Window_010</t>
  </si>
  <si>
    <t>Window_RecView</t>
  </si>
  <si>
    <t>Window_RecView_Expand</t>
  </si>
  <si>
    <t>Window_PlayView</t>
  </si>
  <si>
    <t>Window_PlayView_RecCheck</t>
  </si>
  <si>
    <t>Window_ThumbNail</t>
  </si>
  <si>
    <t>Window_ThumbNail_Protect</t>
  </si>
  <si>
    <t>Window_ThumbNail_Delete</t>
  </si>
  <si>
    <t>Window_ThumbNail_Copy</t>
  </si>
  <si>
    <t>Window_ThumbNail_Detail</t>
  </si>
  <si>
    <t>Window_Home</t>
  </si>
  <si>
    <t>Window_Info_Diagnostics</t>
  </si>
  <si>
    <t>Window_Info_Switches</t>
  </si>
  <si>
    <t>Window_Info_Version</t>
  </si>
  <si>
    <t>Window_Info_Network</t>
  </si>
  <si>
    <t>Window_Info_Audio</t>
  </si>
  <si>
    <t>Window_Info_Media</t>
  </si>
  <si>
    <t>Window_View_Play_Message</t>
  </si>
  <si>
    <t>Window_Area_Setting</t>
  </si>
  <si>
    <t>Window_Area_Setting_Confirm</t>
  </si>
  <si>
    <t>Window_CommonMessage</t>
  </si>
  <si>
    <t>Window_WizardMessage</t>
  </si>
  <si>
    <t>Window_Home_Audio_Top</t>
  </si>
  <si>
    <t>Window_Home_ColorTop</t>
  </si>
  <si>
    <t>Window_Home_EI_TOP</t>
  </si>
  <si>
    <t>Window_Home_Fps_Top</t>
  </si>
  <si>
    <t>Window_Home_Shutter_Top</t>
  </si>
  <si>
    <t>Window_Home_WB_Top</t>
  </si>
  <si>
    <t>Window_Copying</t>
  </si>
  <si>
    <t>Window_DeleteCanceled</t>
  </si>
  <si>
    <t>Window_CopyCanceled</t>
  </si>
  <si>
    <t>Window_CopyComplete</t>
  </si>
  <si>
    <t>Window_DeleteComplete</t>
  </si>
  <si>
    <t>Window_CopyConfirm</t>
  </si>
  <si>
    <t>Window_DeleteConfirm</t>
  </si>
  <si>
    <t>Window_Menu_SCENE_FILE_LOAD_OVERWRITE</t>
  </si>
  <si>
    <t>Window_Menu_SETUP_FILE_LOAD_OVERWRITE</t>
  </si>
  <si>
    <t>Window_Menu_SCENE_FILE_LOAD_SCENELIST</t>
  </si>
  <si>
    <t>Window_NULL</t>
  </si>
  <si>
    <t>Rec</t>
  </si>
  <si>
    <t>Play</t>
  </si>
  <si>
    <t>Thumbnail</t>
  </si>
  <si>
    <t>ClipInfo</t>
  </si>
  <si>
    <t>Home</t>
  </si>
  <si>
    <t>HomeTop</t>
  </si>
  <si>
    <t>HomeInfo</t>
  </si>
  <si>
    <t>HomeFunction</t>
  </si>
  <si>
    <t>Menu</t>
  </si>
  <si>
    <t>Keyboard</t>
  </si>
  <si>
    <t>Toggle</t>
  </si>
  <si>
    <t>Other</t>
  </si>
  <si>
    <t>KeyTest</t>
  </si>
  <si>
    <t>SandBox</t>
  </si>
  <si>
    <t>説明</t>
    <rPh sb="0" eb="2">
      <t>セツメイ</t>
    </rPh>
    <phoneticPr fontId="1"/>
  </si>
  <si>
    <t>概要</t>
    <rPh sb="0" eb="2">
      <t>ガイヨウ</t>
    </rPh>
    <phoneticPr fontId="1"/>
  </si>
  <si>
    <t>Common</t>
    <phoneticPr fontId="1"/>
  </si>
  <si>
    <t>上記ファイルの自動出力を行う</t>
    <rPh sb="0" eb="2">
      <t>ジョウキ</t>
    </rPh>
    <rPh sb="7" eb="9">
      <t>ジドウ</t>
    </rPh>
    <rPh sb="9" eb="11">
      <t>シュツリョク</t>
    </rPh>
    <rPh sb="12" eb="13">
      <t>オコナ</t>
    </rPh>
    <phoneticPr fontId="1"/>
  </si>
  <si>
    <t>Window_ThumbNailClip</t>
  </si>
  <si>
    <t>Window_Deleting</t>
  </si>
  <si>
    <t>WindowID_Menu_USER_ACCOUNT_DELETE</t>
  </si>
  <si>
    <t>WindowID_Menu_NETWORK_INFRA_SELECT</t>
  </si>
  <si>
    <t>Type</t>
    <phoneticPr fontId="1"/>
  </si>
  <si>
    <t>AreaSetting</t>
  </si>
  <si>
    <t>WindowMainCategory_Rec</t>
  </si>
  <si>
    <t>WindowMainCategory_Play</t>
  </si>
  <si>
    <t>WindowMainCategory_Home</t>
  </si>
  <si>
    <t>WindowMainCategory_Menu</t>
  </si>
  <si>
    <t>WindowMainCategory_Fact</t>
  </si>
  <si>
    <t>WindowMainCategory_Other</t>
  </si>
  <si>
    <t>WindowID_Menu_CLOCK_SETTING</t>
  </si>
  <si>
    <t>WindowID_Menu_TIME_ZONESETTING</t>
  </si>
  <si>
    <t>WindowID_Menu_TC</t>
  </si>
  <si>
    <t>WindowID_Menu_UB</t>
  </si>
  <si>
    <t>WindowID_Menu_SCENE_FILE_LOAD</t>
  </si>
  <si>
    <t>WindowID_Menu_SCENE_FILE_SAVE</t>
  </si>
  <si>
    <t>WindowID_Menu_SETUP_FILE_LOAD</t>
  </si>
  <si>
    <t>WindowID_Menu_SETUP_FILE_SAVE</t>
  </si>
  <si>
    <t>WindowID_Menu_AREA_SETTING</t>
  </si>
  <si>
    <t>固定情報</t>
    <rPh sb="0" eb="2">
      <t>コテイ</t>
    </rPh>
    <rPh sb="2" eb="4">
      <t>ジョウホウ</t>
    </rPh>
    <phoneticPr fontId="1"/>
  </si>
  <si>
    <t>TransitionA</t>
  </si>
  <si>
    <t>TransitionB</t>
  </si>
  <si>
    <t>Window_Test_A_1_2</t>
  </si>
  <si>
    <t>Window_Test_A_1_3</t>
  </si>
  <si>
    <t>Window_Test_A_2_2</t>
  </si>
  <si>
    <t>Window_Test_A_2_3</t>
  </si>
  <si>
    <t>Window_Test_A_3_2</t>
  </si>
  <si>
    <t>Window_Test_A_3_3</t>
  </si>
  <si>
    <t>Window_Test_B_1_1</t>
  </si>
  <si>
    <t>Window_Test_B_1_2</t>
  </si>
  <si>
    <t>Window_Test_B_1_3</t>
  </si>
  <si>
    <t>Window_Test_B_2_1</t>
  </si>
  <si>
    <t>Window_Test_B_2_2</t>
  </si>
  <si>
    <t>Window_Test_B_2_3</t>
  </si>
  <si>
    <t>Window_Test_B_3_1</t>
  </si>
  <si>
    <t>Window_Test_B_3_2</t>
  </si>
  <si>
    <t>Window_Test_B_3_3</t>
  </si>
  <si>
    <t>WindowID_Menu_Area_Setting_Confirm</t>
  </si>
  <si>
    <t>Bit</t>
    <phoneticPr fontId="1"/>
  </si>
  <si>
    <t>Category</t>
    <phoneticPr fontId="1"/>
  </si>
  <si>
    <t>Window_Test_A_1_1</t>
  </si>
  <si>
    <t>Window_Test_A_2_1</t>
  </si>
  <si>
    <t>Window_Test_A_3_1</t>
  </si>
  <si>
    <t>FactOther</t>
  </si>
  <si>
    <t>WINDOWID_MAX_NUM</t>
  </si>
  <si>
    <t>= 0xFFFFFFFF</t>
    <phoneticPr fontId="1"/>
  </si>
  <si>
    <t>無効値</t>
    <rPh sb="0" eb="2">
      <t>ムコウ</t>
    </rPh>
    <rPh sb="2" eb="3">
      <t>チ</t>
    </rPh>
    <phoneticPr fontId="1"/>
  </si>
  <si>
    <t>WindowID_MAX</t>
    <phoneticPr fontId="1"/>
  </si>
  <si>
    <t>WindowID_Menu_NETWORK_SETTINGS</t>
  </si>
  <si>
    <t>WindowID_Menu_USER_ACCOUNT_ENTRY</t>
  </si>
  <si>
    <t>WindowID_Menu_NETWORK_CONNECT_HISTORY</t>
  </si>
  <si>
    <t>WindowID_Menu_NETWORK_TYPE</t>
  </si>
  <si>
    <t>WindowID_Menu_NETWORK_PROPERTY</t>
  </si>
  <si>
    <t>WindowSubCategory_MenuList</t>
  </si>
  <si>
    <t>MenuOther</t>
  </si>
  <si>
    <t>WindowCategory_MenuListCheck</t>
  </si>
  <si>
    <t>WindowSubCategory_Message</t>
  </si>
  <si>
    <t>WindowSubCategory_SystemError</t>
  </si>
  <si>
    <t>WindowSubCategory_Warning</t>
  </si>
  <si>
    <t>WindowSubCategory_Alert</t>
  </si>
  <si>
    <t>WindowSubCategory_Repair</t>
  </si>
  <si>
    <t>WindowSubCategory_Other</t>
  </si>
  <si>
    <t>WindowCategory_RecSystemError</t>
  </si>
  <si>
    <t>WindowCategory_RecWarning</t>
  </si>
  <si>
    <t>WindowCategory_RecAlert</t>
  </si>
  <si>
    <t>WindowCategory_RecRepair</t>
  </si>
  <si>
    <t>WindowCategory_PlayWarning</t>
  </si>
  <si>
    <t>WindowCategory_PlayAlert</t>
  </si>
  <si>
    <t>WindowCategory_USB</t>
  </si>
  <si>
    <t>WindowCategory_TestMessage</t>
  </si>
  <si>
    <t>RecInfo</t>
  </si>
  <si>
    <t>Window_Rec_Mode_Check</t>
  </si>
  <si>
    <t>NetWork</t>
  </si>
  <si>
    <t>WindowID_Menu_NETWORK_CONNECTION_HISTORY</t>
  </si>
  <si>
    <t>WindowID_Menu_SETUP_FILE_LOAD_MEMORY</t>
  </si>
  <si>
    <t>WindowID_Menu_SETUP_FILE_SAVE_MEMORY</t>
  </si>
  <si>
    <t>WindowID_Menu_MONITOR_VOL</t>
  </si>
  <si>
    <t>WindowID_Menu_COLOR_SETTING_MAIN</t>
  </si>
  <si>
    <t>WindowID_Menu_FPS_VALUE</t>
  </si>
  <si>
    <t>WindowID_Menu_SHUTTER_DEG_VALUE</t>
  </si>
  <si>
    <t>WindowID_Menu_SHUTTER_SEC_VALUE</t>
  </si>
  <si>
    <t>WindowID_Menu_ISO_SELECT</t>
  </si>
  <si>
    <t>WindowID_Menu_NATIVE_ISO</t>
  </si>
  <si>
    <t>WindowID_Menu_800BASE_ISO</t>
  </si>
  <si>
    <t>WindowID_Menu_3200BASE_ISO</t>
  </si>
  <si>
    <t>WindowID_Menu_GAIN_MODE</t>
  </si>
  <si>
    <t>WindowID_Menu_GAIN_SELECT</t>
  </si>
  <si>
    <t>WindowID_Menu_WHITE_VALUE</t>
  </si>
  <si>
    <t>OldMenu</t>
  </si>
  <si>
    <t>WindowID_Menu_COLOR_CORRECTION</t>
  </si>
  <si>
    <t>2List</t>
  </si>
  <si>
    <t>WindowID_Menu_NETWORK_INFO_STATUS</t>
  </si>
  <si>
    <t>WindowID_Menu_NETWORK_INFO_LOG</t>
  </si>
  <si>
    <t>Window_TouchNavi</t>
  </si>
  <si>
    <t>None</t>
  </si>
  <si>
    <t xml:space="preserve">WindowCategory_HomeFunction </t>
  </si>
  <si>
    <t xml:space="preserve">WindowCategory_SpinBox      </t>
  </si>
  <si>
    <t xml:space="preserve">WindowCategory_MenuFile     </t>
  </si>
  <si>
    <t>E</t>
  </si>
  <si>
    <t>F</t>
  </si>
  <si>
    <t>Work</t>
  </si>
  <si>
    <t>Dialog</t>
  </si>
  <si>
    <t>RecView</t>
  </si>
  <si>
    <t>RecPlayBack</t>
  </si>
  <si>
    <t>PlayBack</t>
  </si>
  <si>
    <t>ClipEdit</t>
  </si>
  <si>
    <t>SpinBox</t>
  </si>
  <si>
    <t>MenuFile</t>
  </si>
  <si>
    <t>MenuAreaSett</t>
  </si>
  <si>
    <t>FactList</t>
  </si>
  <si>
    <t>FactDialog</t>
  </si>
  <si>
    <t>FactTest</t>
  </si>
  <si>
    <t>Common</t>
  </si>
  <si>
    <t>USB</t>
  </si>
  <si>
    <t>Sub1</t>
    <phoneticPr fontId="1"/>
  </si>
  <si>
    <t>Sub2</t>
  </si>
  <si>
    <t>A</t>
  </si>
  <si>
    <t>Message</t>
  </si>
  <si>
    <t>Main</t>
    <phoneticPr fontId="1"/>
  </si>
  <si>
    <t>B</t>
  </si>
  <si>
    <t>C</t>
  </si>
  <si>
    <t>D</t>
  </si>
  <si>
    <t>F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</si>
  <si>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</si>
  <si>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</si>
  <si>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</si>
  <si>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</si>
  <si>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</si>
  <si>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All</t>
    <phoneticPr fontId="1"/>
  </si>
  <si>
    <t>Sub2</t>
    <phoneticPr fontId="1"/>
  </si>
  <si>
    <t>Message</t>
    <phoneticPr fontId="1"/>
  </si>
  <si>
    <t>MenuList</t>
  </si>
  <si>
    <t>Bit</t>
    <phoneticPr fontId="1"/>
  </si>
  <si>
    <t>備考</t>
    <rPh sb="0" eb="2">
      <t>ビコウ</t>
    </rPh>
    <phoneticPr fontId="1"/>
  </si>
  <si>
    <t>Rec</t>
    <phoneticPr fontId="1"/>
  </si>
  <si>
    <t>Play</t>
    <phoneticPr fontId="1"/>
  </si>
  <si>
    <t>All</t>
  </si>
  <si>
    <t>Menu</t>
    <phoneticPr fontId="1"/>
  </si>
  <si>
    <t>Home</t>
    <phoneticPr fontId="1"/>
  </si>
  <si>
    <t>Fact</t>
  </si>
  <si>
    <t>Fact</t>
    <phoneticPr fontId="1"/>
  </si>
  <si>
    <t>Other</t>
    <phoneticPr fontId="1"/>
  </si>
  <si>
    <t>Work</t>
    <phoneticPr fontId="1"/>
  </si>
  <si>
    <t>-</t>
  </si>
  <si>
    <t>Cagetory</t>
    <phoneticPr fontId="1"/>
  </si>
  <si>
    <t>Name</t>
    <phoneticPr fontId="1"/>
  </si>
  <si>
    <t>Type</t>
    <phoneticPr fontId="1"/>
  </si>
  <si>
    <t>WindowID</t>
  </si>
  <si>
    <t>Aplで使用中</t>
    <rPh sb="4" eb="6">
      <t>シヨウ</t>
    </rPh>
    <rPh sb="6" eb="7">
      <t>チュウ</t>
    </rPh>
    <phoneticPr fontId="1"/>
  </si>
  <si>
    <t>AplGuiで使用中</t>
    <rPh sb="7" eb="10">
      <t>シヨウチュウ</t>
    </rPh>
    <phoneticPr fontId="1"/>
  </si>
  <si>
    <t>Guiで使用中</t>
    <rPh sb="4" eb="7">
      <t>シヨウチュウ</t>
    </rPh>
    <phoneticPr fontId="1"/>
  </si>
  <si>
    <t>CategoryID</t>
  </si>
  <si>
    <t>../Window/KEYBOARD/KeyboardWindowId.def</t>
  </si>
  <si>
    <t>../Window/MENU/DIALOG/DialogWindowId.def</t>
  </si>
  <si>
    <t>def</t>
  </si>
  <si>
    <t>../Window/MENU/SPINBOX/SpinBoxWindowId.def</t>
  </si>
  <si>
    <t>../Window/MENU/MenuWindowId.def</t>
  </si>
  <si>
    <t>WindowMainCategory_Work</t>
    <phoneticPr fontId="1"/>
  </si>
  <si>
    <t>WindowIDの構成</t>
    <rPh sb="9" eb="11">
      <t>コウセイ</t>
    </rPh>
    <phoneticPr fontId="1"/>
  </si>
  <si>
    <r>
      <t>0x</t>
    </r>
    <r>
      <rPr>
        <b/>
        <sz val="11"/>
        <color rgb="FFFF0000"/>
        <rFont val="ＭＳ ゴシック"/>
        <family val="3"/>
        <charset val="128"/>
      </rPr>
      <t>0000</t>
    </r>
    <r>
      <rPr>
        <sz val="11"/>
        <color theme="1"/>
        <rFont val="ＭＳ ゴシック"/>
        <family val="2"/>
        <charset val="128"/>
      </rPr>
      <t>0000</t>
    </r>
    <phoneticPr fontId="1"/>
  </si>
  <si>
    <r>
      <t>0x0000</t>
    </r>
    <r>
      <rPr>
        <b/>
        <sz val="11"/>
        <color rgb="FFFF0000"/>
        <rFont val="ＭＳ ゴシック"/>
        <family val="3"/>
        <charset val="128"/>
      </rPr>
      <t>0000</t>
    </r>
    <phoneticPr fontId="1"/>
  </si>
  <si>
    <t>機能や種類ごとに分けたWindowIDをユニークな値で管理するためのPage情報領域</t>
    <rPh sb="0" eb="2">
      <t>キノウ</t>
    </rPh>
    <rPh sb="3" eb="5">
      <t>シュルイ</t>
    </rPh>
    <rPh sb="8" eb="9">
      <t>ワ</t>
    </rPh>
    <rPh sb="25" eb="26">
      <t>アタイ</t>
    </rPh>
    <rPh sb="27" eb="29">
      <t>カンリ</t>
    </rPh>
    <rPh sb="38" eb="40">
      <t>ジョウホウ</t>
    </rPh>
    <rPh sb="40" eb="42">
      <t>リョウイキ</t>
    </rPh>
    <phoneticPr fontId="1"/>
  </si>
  <si>
    <r>
      <t>0x</t>
    </r>
    <r>
      <rPr>
        <b/>
        <sz val="11"/>
        <color rgb="FFFF0000"/>
        <rFont val="ＭＳ ゴシック"/>
        <family val="3"/>
        <charset val="128"/>
      </rPr>
      <t>0</t>
    </r>
    <r>
      <rPr>
        <sz val="11"/>
        <color theme="1"/>
        <rFont val="ＭＳ ゴシック"/>
        <family val="2"/>
        <charset val="128"/>
      </rPr>
      <t>0000000</t>
    </r>
    <phoneticPr fontId="1"/>
  </si>
  <si>
    <r>
      <t>0x0</t>
    </r>
    <r>
      <rPr>
        <b/>
        <sz val="11"/>
        <color rgb="FFFF0000"/>
        <rFont val="ＭＳ ゴシック"/>
        <family val="3"/>
        <charset val="128"/>
      </rPr>
      <t>0</t>
    </r>
    <r>
      <rPr>
        <sz val="11"/>
        <color theme="1"/>
        <rFont val="ＭＳ ゴシック"/>
        <family val="2"/>
        <charset val="128"/>
      </rPr>
      <t>000000</t>
    </r>
    <phoneticPr fontId="1"/>
  </si>
  <si>
    <t>WindowIDをブロックごとに分けて管理するためのMainCategory領域</t>
    <rPh sb="16" eb="17">
      <t>ワ</t>
    </rPh>
    <rPh sb="19" eb="21">
      <t>カンリ</t>
    </rPh>
    <rPh sb="38" eb="40">
      <t>リョウイキ</t>
    </rPh>
    <phoneticPr fontId="1"/>
  </si>
  <si>
    <t>WindowIDを機能や種類ごとに分けて管理するためのCategory領域</t>
    <rPh sb="9" eb="11">
      <t>キノウ</t>
    </rPh>
    <rPh sb="12" eb="14">
      <t>シュルイ</t>
    </rPh>
    <rPh sb="17" eb="18">
      <t>ワ</t>
    </rPh>
    <rPh sb="20" eb="22">
      <t>カンリ</t>
    </rPh>
    <rPh sb="35" eb="37">
      <t>リョウイキ</t>
    </rPh>
    <phoneticPr fontId="1"/>
  </si>
  <si>
    <t>WindowIDを大項目で分けて管理するためのTypeCategory領域</t>
    <rPh sb="9" eb="10">
      <t>ダイ</t>
    </rPh>
    <rPh sb="10" eb="12">
      <t>コウモク</t>
    </rPh>
    <rPh sb="13" eb="14">
      <t>ワ</t>
    </rPh>
    <rPh sb="16" eb="18">
      <t>カンリ</t>
    </rPh>
    <rPh sb="35" eb="37">
      <t>リョウイキ</t>
    </rPh>
    <phoneticPr fontId="1"/>
  </si>
  <si>
    <r>
      <t>0x00</t>
    </r>
    <r>
      <rPr>
        <b/>
        <sz val="11"/>
        <color rgb="FFFF0000"/>
        <rFont val="ＭＳ ゴシック"/>
        <family val="3"/>
        <charset val="128"/>
      </rPr>
      <t>00</t>
    </r>
    <r>
      <rPr>
        <sz val="11"/>
        <color theme="1"/>
        <rFont val="ＭＳ ゴシック"/>
        <family val="2"/>
        <charset val="128"/>
      </rPr>
      <t>0000</t>
    </r>
    <phoneticPr fontId="1"/>
  </si>
  <si>
    <t>WindowID追加方法</t>
    <rPh sb="8" eb="10">
      <t>ツイカ</t>
    </rPh>
    <rPh sb="10" eb="12">
      <t>ホウホウ</t>
    </rPh>
    <phoneticPr fontId="1"/>
  </si>
  <si>
    <t>1、ID一覧シートを表示</t>
    <rPh sb="4" eb="6">
      <t>イチラン</t>
    </rPh>
    <rPh sb="10" eb="12">
      <t>ヒョウジ</t>
    </rPh>
    <phoneticPr fontId="1"/>
  </si>
  <si>
    <t>2、空白行か挿入して行を増やした行に必要な情報を記載</t>
    <rPh sb="2" eb="4">
      <t>クウハク</t>
    </rPh>
    <rPh sb="4" eb="5">
      <t>ギョウ</t>
    </rPh>
    <rPh sb="6" eb="8">
      <t>ソウニュウ</t>
    </rPh>
    <rPh sb="10" eb="11">
      <t>ギョウ</t>
    </rPh>
    <rPh sb="12" eb="13">
      <t>フ</t>
    </rPh>
    <rPh sb="16" eb="17">
      <t>ギョウ</t>
    </rPh>
    <rPh sb="18" eb="20">
      <t>ヒツヨウ</t>
    </rPh>
    <rPh sb="21" eb="23">
      <t>ジョウホウ</t>
    </rPh>
    <rPh sb="24" eb="26">
      <t>キサイ</t>
    </rPh>
    <phoneticPr fontId="1"/>
  </si>
  <si>
    <t>CategoryID：Cagetory情報のみのWindowID</t>
    <rPh sb="19" eb="21">
      <t>ジョウホウ</t>
    </rPh>
    <phoneticPr fontId="1"/>
  </si>
  <si>
    <t>WindowID  ：通常のWindowID</t>
    <rPh sb="11" eb="13">
      <t>ツウジョウ</t>
    </rPh>
    <phoneticPr fontId="1"/>
  </si>
  <si>
    <t>def       ：defファイル参照</t>
    <rPh sb="18" eb="20">
      <t>サンショウ</t>
    </rPh>
    <phoneticPr fontId="1"/>
  </si>
  <si>
    <t>Category情報をプルダウンから選択</t>
    <phoneticPr fontId="1"/>
  </si>
  <si>
    <t>自動入力。</t>
    <phoneticPr fontId="1"/>
  </si>
  <si>
    <t>Type</t>
    <phoneticPr fontId="1"/>
  </si>
  <si>
    <t>入力する情報の種類</t>
    <phoneticPr fontId="1"/>
  </si>
  <si>
    <t>CtWindowID.h</t>
    <phoneticPr fontId="1"/>
  </si>
  <si>
    <t>CtWindowIDString.def</t>
    <phoneticPr fontId="1"/>
  </si>
  <si>
    <t>WindowNone</t>
    <phoneticPr fontId="1"/>
  </si>
  <si>
    <t>= 0x00000000</t>
    <phoneticPr fontId="1"/>
  </si>
  <si>
    <t>= WindowIDの総数</t>
    <phoneticPr fontId="1"/>
  </si>
  <si>
    <t>CategoryID及びWindowIDの場合はID名。defの場合はファイルの参照パス</t>
    <rPh sb="40" eb="42">
      <t>サンショウ</t>
    </rPh>
    <phoneticPr fontId="1"/>
  </si>
  <si>
    <t>※MainとTypeを先に選択しないとSubのプルダウンに一覧が表示されません</t>
    <rPh sb="11" eb="12">
      <t>サキ</t>
    </rPh>
    <rPh sb="13" eb="15">
      <t>センタク</t>
    </rPh>
    <rPh sb="29" eb="31">
      <t>イチラン</t>
    </rPh>
    <rPh sb="32" eb="34">
      <t>ヒョウジ</t>
    </rPh>
    <phoneticPr fontId="1"/>
  </si>
  <si>
    <t>3、出力ボタンを押下</t>
    <rPh sb="2" eb="4">
      <t>シュツリョク</t>
    </rPh>
    <rPh sb="8" eb="10">
      <t>オウカ</t>
    </rPh>
    <phoneticPr fontId="1"/>
  </si>
  <si>
    <t>エラーが表示された場合はそのエラーの指示に従ってください。</t>
    <rPh sb="4" eb="6">
      <t>ヒョウジ</t>
    </rPh>
    <rPh sb="9" eb="11">
      <t>バアイ</t>
    </rPh>
    <rPh sb="18" eb="20">
      <t>シジ</t>
    </rPh>
    <rPh sb="21" eb="22">
      <t>シタガ</t>
    </rPh>
    <phoneticPr fontId="1"/>
  </si>
  <si>
    <t>WindowIDを小項目で分けて管理するためのSubCategory領域（Sub1とSub2の2種類で管理する）</t>
    <rPh sb="9" eb="12">
      <t>ショウコウモク</t>
    </rPh>
    <rPh sb="13" eb="14">
      <t>ワ</t>
    </rPh>
    <rPh sb="16" eb="18">
      <t>カンリ</t>
    </rPh>
    <rPh sb="34" eb="36">
      <t>リョウイキ</t>
    </rPh>
    <rPh sb="48" eb="50">
      <t>シュルイ</t>
    </rPh>
    <rPh sb="51" eb="53">
      <t>カンリ</t>
    </rPh>
    <phoneticPr fontId="1"/>
  </si>
  <si>
    <t>0xFFFF, 0xFFF0, 0xFF0F, 0xFF00, 0xF0FF, 0xF0F0, 0xF00F, 0xF000, 0x0FFF, 0x0FF0, 0x0F0F, 0x0F00, 0x00FF, 0x00F0, 0x000F</t>
    <phoneticPr fontId="1"/>
  </si>
  <si>
    <t>でマスクし、一つでも同一の場合は対象のカテゴリーとして判断する</t>
    <rPh sb="6" eb="7">
      <t>ヒト</t>
    </rPh>
    <rPh sb="10" eb="12">
      <t>ドウイツ</t>
    </rPh>
    <rPh sb="13" eb="15">
      <t>バアイ</t>
    </rPh>
    <rPh sb="16" eb="18">
      <t>タイショウ</t>
    </rPh>
    <rPh sb="27" eb="29">
      <t>ハンダン</t>
    </rPh>
    <phoneticPr fontId="1"/>
  </si>
  <si>
    <t>checkWindowCategoryではCategory領域を</t>
    <rPh sb="29" eb="31">
      <t>リョウイキ</t>
    </rPh>
    <phoneticPr fontId="1"/>
  </si>
  <si>
    <t>Comment</t>
  </si>
  <si>
    <t>WindowID_Menu_UPDATE_COMPLETE</t>
    <phoneticPr fontId="1"/>
  </si>
  <si>
    <t>/* Work */</t>
    <phoneticPr fontId="1"/>
  </si>
  <si>
    <t>/* Other */</t>
    <phoneticPr fontId="1"/>
  </si>
  <si>
    <t>/* Fact */</t>
    <phoneticPr fontId="1"/>
  </si>
  <si>
    <t>/* Menu */</t>
    <phoneticPr fontId="1"/>
  </si>
  <si>
    <t>/* Home */</t>
    <phoneticPr fontId="1"/>
  </si>
  <si>
    <t>/* Play */</t>
    <phoneticPr fontId="1"/>
  </si>
  <si>
    <t>/* Rec */</t>
  </si>
  <si>
    <t>Comment   ：コメント文（Nameに入力した文字列がそのまま出力されます）</t>
    <rPh sb="15" eb="16">
      <t>ブン</t>
    </rPh>
    <rPh sb="22" eb="24">
      <t>ニュウリョク</t>
    </rPh>
    <rPh sb="26" eb="29">
      <t>モジレツ</t>
    </rPh>
    <rPh sb="34" eb="36">
      <t>シュツリョク</t>
    </rPh>
    <phoneticPr fontId="1"/>
  </si>
  <si>
    <t>GET</t>
    <phoneticPr fontId="1"/>
  </si>
  <si>
    <t>SET</t>
    <phoneticPr fontId="1"/>
  </si>
  <si>
    <t>Main/Type編集</t>
    <rPh sb="9" eb="11">
      <t>ヘンシュウ</t>
    </rPh>
    <phoneticPr fontId="1"/>
  </si>
  <si>
    <t>Sub編集</t>
    <rPh sb="3" eb="5">
      <t>ヘンシュウ</t>
    </rPh>
    <phoneticPr fontId="1"/>
  </si>
  <si>
    <t>編集する項目を選択してください。</t>
    <rPh sb="0" eb="2">
      <t>ヘンシュウ</t>
    </rPh>
    <rPh sb="4" eb="6">
      <t>コウモク</t>
    </rPh>
    <rPh sb="7" eb="9">
      <t>センタク</t>
    </rPh>
    <phoneticPr fontId="1"/>
  </si>
  <si>
    <t>※注意※</t>
    <rPh sb="1" eb="3">
      <t>チュウイ</t>
    </rPh>
    <phoneticPr fontId="1"/>
  </si>
  <si>
    <t>・Mainの「All」の名前と位置は変更しないでください。</t>
    <rPh sb="12" eb="14">
      <t>ナマエ</t>
    </rPh>
    <rPh sb="15" eb="17">
      <t>イチ</t>
    </rPh>
    <rPh sb="18" eb="20">
      <t>ヘンコウ</t>
    </rPh>
    <phoneticPr fontId="1"/>
  </si>
  <si>
    <t>・Typeの「None」の名前と位置は変更しないでください。</t>
    <rPh sb="13" eb="15">
      <t>ナマエ</t>
    </rPh>
    <rPh sb="16" eb="18">
      <t>イチ</t>
    </rPh>
    <rPh sb="19" eb="21">
      <t>ヘンコウ</t>
    </rPh>
    <phoneticPr fontId="1"/>
  </si>
  <si>
    <t>・上詰めで記載してください。</t>
    <rPh sb="1" eb="2">
      <t>ウエ</t>
    </rPh>
    <rPh sb="2" eb="3">
      <t>ヅ</t>
    </rPh>
    <rPh sb="5" eb="7">
      <t>キサイ</t>
    </rPh>
    <phoneticPr fontId="1"/>
  </si>
  <si>
    <t>注意事項</t>
    <rPh sb="0" eb="2">
      <t>チュウイ</t>
    </rPh>
    <rPh sb="2" eb="4">
      <t>ジコウ</t>
    </rPh>
    <phoneticPr fontId="1"/>
  </si>
  <si>
    <t>赤いシート「定義一覧」「自動取得」は触らないでください。</t>
    <rPh sb="0" eb="1">
      <t>アカ</t>
    </rPh>
    <rPh sb="6" eb="8">
      <t>テイギ</t>
    </rPh>
    <rPh sb="8" eb="10">
      <t>イチラン</t>
    </rPh>
    <rPh sb="12" eb="14">
      <t>ジドウ</t>
    </rPh>
    <rPh sb="14" eb="16">
      <t>シュトク</t>
    </rPh>
    <rPh sb="18" eb="19">
      <t>サワ</t>
    </rPh>
    <phoneticPr fontId="1"/>
  </si>
  <si>
    <t>None</t>
    <phoneticPr fontId="1"/>
  </si>
  <si>
    <t>・同じ名前は登録しないでください。</t>
    <rPh sb="1" eb="2">
      <t>オナ</t>
    </rPh>
    <rPh sb="3" eb="5">
      <t>ナマエ</t>
    </rPh>
    <rPh sb="6" eb="8">
      <t>トウロク</t>
    </rPh>
    <phoneticPr fontId="1"/>
  </si>
  <si>
    <t>※Subのテーブルはアドレスで管理しているため</t>
    <rPh sb="15" eb="17">
      <t>カンリ</t>
    </rPh>
    <phoneticPr fontId="1"/>
  </si>
  <si>
    <t>・Allを編集した場合、別ブロックの設定にも反映します。</t>
    <rPh sb="5" eb="7">
      <t>ヘンシュウ</t>
    </rPh>
    <rPh sb="9" eb="11">
      <t>バアイ</t>
    </rPh>
    <rPh sb="12" eb="13">
      <t>ベツ</t>
    </rPh>
    <rPh sb="18" eb="20">
      <t>セッテイ</t>
    </rPh>
    <rPh sb="22" eb="24">
      <t>ハンエイ</t>
    </rPh>
    <phoneticPr fontId="1"/>
  </si>
  <si>
    <t>Subコピー</t>
    <phoneticPr fontId="1"/>
  </si>
  <si>
    <t>↓コピー↓</t>
    <phoneticPr fontId="1"/>
  </si>
  <si>
    <t>Copy</t>
    <phoneticPr fontId="1"/>
  </si>
  <si>
    <t>左側のテーブルは対象TypeのAllテーブル</t>
    <rPh sb="0" eb="2">
      <t>ヒダリガワ</t>
    </rPh>
    <rPh sb="8" eb="10">
      <t>タイショウ</t>
    </rPh>
    <phoneticPr fontId="1"/>
  </si>
  <si>
    <t>右側のテーブルが編集テーブルになります。</t>
    <rPh sb="0" eb="2">
      <t>ミギガワ</t>
    </rPh>
    <rPh sb="8" eb="10">
      <t>ヘンシュウ</t>
    </rPh>
    <phoneticPr fontId="1"/>
  </si>
  <si>
    <t>編集用</t>
    <rPh sb="0" eb="3">
      <t>ヘンシュウヨウ</t>
    </rPh>
    <phoneticPr fontId="1"/>
  </si>
  <si>
    <t>　定義の順番を入れ替えた場合</t>
    <rPh sb="1" eb="3">
      <t>テイギ</t>
    </rPh>
    <rPh sb="4" eb="6">
      <t>ジュンバン</t>
    </rPh>
    <rPh sb="7" eb="8">
      <t>イ</t>
    </rPh>
    <rPh sb="9" eb="10">
      <t>カ</t>
    </rPh>
    <rPh sb="12" eb="14">
      <t>バアイ</t>
    </rPh>
    <phoneticPr fontId="1"/>
  </si>
  <si>
    <t>　Sub情報は反映されず、前のアドレスの位置のままになります。</t>
    <rPh sb="4" eb="6">
      <t>ジョウホウ</t>
    </rPh>
    <rPh sb="7" eb="9">
      <t>ハンエイ</t>
    </rPh>
    <rPh sb="13" eb="14">
      <t>マエ</t>
    </rPh>
    <rPh sb="20" eb="22">
      <t>イチ</t>
    </rPh>
    <phoneticPr fontId="1"/>
  </si>
  <si>
    <t>黄色のセルのみ変更してください。</t>
    <rPh sb="0" eb="2">
      <t>キイロ</t>
    </rPh>
    <rPh sb="7" eb="9">
      <t>ヘンコウ</t>
    </rPh>
    <phoneticPr fontId="1"/>
  </si>
  <si>
    <t>Main/Type編集で項目を削除した際に使用してください。</t>
    <rPh sb="9" eb="11">
      <t>ヘンシュウ</t>
    </rPh>
    <rPh sb="12" eb="14">
      <t>コウモク</t>
    </rPh>
    <rPh sb="15" eb="17">
      <t>サクジョ</t>
    </rPh>
    <rPh sb="19" eb="20">
      <t>サイ</t>
    </rPh>
    <rPh sb="21" eb="23">
      <t>シヨウ</t>
    </rPh>
    <phoneticPr fontId="1"/>
  </si>
  <si>
    <t>・名前定義をすべて削除し、必要な定義のみ再登録</t>
    <rPh sb="1" eb="3">
      <t>ナマエ</t>
    </rPh>
    <rPh sb="3" eb="5">
      <t>テイギ</t>
    </rPh>
    <rPh sb="9" eb="11">
      <t>サクジョ</t>
    </rPh>
    <rPh sb="13" eb="15">
      <t>ヒツヨウ</t>
    </rPh>
    <rPh sb="16" eb="18">
      <t>テイギ</t>
    </rPh>
    <rPh sb="20" eb="23">
      <t>サイトウロク</t>
    </rPh>
    <phoneticPr fontId="1"/>
  </si>
  <si>
    <t>・定義一覧シートの不要箇所を全削除</t>
    <rPh sb="1" eb="3">
      <t>テイギ</t>
    </rPh>
    <rPh sb="3" eb="5">
      <t>イチラン</t>
    </rPh>
    <rPh sb="9" eb="11">
      <t>フヨウ</t>
    </rPh>
    <rPh sb="11" eb="13">
      <t>カショ</t>
    </rPh>
    <rPh sb="14" eb="15">
      <t>ゼン</t>
    </rPh>
    <rPh sb="15" eb="17">
      <t>サクジョ</t>
    </rPh>
    <phoneticPr fontId="1"/>
  </si>
  <si>
    <t>WindowNone</t>
  </si>
  <si>
    <t>WindowSubCategory_Telop</t>
  </si>
  <si>
    <t>WindowSubCategory_Dialog</t>
  </si>
  <si>
    <t>Window_Message_SYSTEM_ERROR</t>
  </si>
  <si>
    <t>Window_Message_LOW_BATTERY</t>
  </si>
  <si>
    <t>Window_Message_HIGH_TEMPERATURE</t>
  </si>
  <si>
    <t>Window_Message_REC_WARNING</t>
  </si>
  <si>
    <t>Window_Message_CARD_ERROR_SLOT_1</t>
  </si>
  <si>
    <t>Window_Message_CARD_ERROR_SLOT_2</t>
  </si>
  <si>
    <t>Window_Message_CARD_ERROR_SLOT_1_2</t>
  </si>
  <si>
    <t>Window_Message_REC_WARNING_OVER_MAX_NUM_OF_CLIPS</t>
  </si>
  <si>
    <t>Window_Message_REC_PROXY_REC_WARNING</t>
  </si>
  <si>
    <t>Window_Message_REC_PROXY_REC_WARNING_SUB</t>
  </si>
  <si>
    <t>Window_Message_SIMUL_REC_WARNING_SLOT_1</t>
  </si>
  <si>
    <t>Window_Message_SIMUL_REC_WARNING_SLOT_2</t>
  </si>
  <si>
    <t>Window_Message_REC_SIMUL_REC_WARNING_SLOT_1</t>
  </si>
  <si>
    <t>Window_Message_REC_SIMUL_REC_WARNING_SLOT_2</t>
  </si>
  <si>
    <t>Window_Message_REC_BACKGROUND_REC_WARNING_SLOT_1</t>
  </si>
  <si>
    <t>Window_Message_REC_BACKGROUND_REC_WARNING_SLOT_2</t>
  </si>
  <si>
    <t>Window_Message_REC_BACKGROUND_REC_WARNING_SLOT_1_NEXT</t>
  </si>
  <si>
    <t>Window_Message_REC_BACKGROUND_REC_WARNING_SLOT_2_NEXT</t>
  </si>
  <si>
    <t>Window_Message_UNSUPPORTED_CARD_SLOT_1</t>
  </si>
  <si>
    <t>Window_Message_UNSUPPORTED_CARD_SLOT_2</t>
  </si>
  <si>
    <t>Window_Message_UNSUPPORTED_CARD_SLOT_1_2</t>
  </si>
  <si>
    <t>Window_Message_FORMAT_ERROR_CARD_SLOT_1</t>
  </si>
  <si>
    <t>Window_Message_FORMAT_ERROR_CARD_SLOT_2</t>
  </si>
  <si>
    <t>Window_Message_FORMAT_ERROR_CARD_SLOT_1_2</t>
  </si>
  <si>
    <t>Window_Message_NOT_SDXC_CARD_SLOT_1</t>
  </si>
  <si>
    <t>Window_Message_NOT_SDXC_CARD_SLOT_2</t>
  </si>
  <si>
    <t>Window_Message_NOT_SDXC_CARD_SLOT_1_2</t>
  </si>
  <si>
    <t>Window_Message_INCOMPATIBLE_CARD_SLOT_1</t>
  </si>
  <si>
    <t>Window_Message_INCOMPATIBLE_CARD_SLOT_2</t>
  </si>
  <si>
    <t>Window_Message_INCOMPATIBLE_CARD_SLOT_1_2</t>
  </si>
  <si>
    <t>Window_Message_REC_DIR_NG_CARD_SLOT_1</t>
  </si>
  <si>
    <t>Window_Message_REC_DIR_NG_CARD_SLOT_2</t>
  </si>
  <si>
    <t>Window_Message_REC_DIR_NG_CARD_SLOT_1_2</t>
  </si>
  <si>
    <t>Window_Message_REC_RUN_DOWN_CARD_SLOT_1</t>
  </si>
  <si>
    <t>Window_Message_REC_RUN_DOWN_CARD_SLOT_2</t>
  </si>
  <si>
    <t>Window_Message_REC_RUN_DOWN_CARD_SLOT_1_2</t>
  </si>
  <si>
    <t>Window_Message_REC_SD_CARD_SLOT_1</t>
  </si>
  <si>
    <t>Window_Message_REC_SD_CARD_SLOT_2</t>
  </si>
  <si>
    <t>Window_Message_REC_SD_CARD_SLOT_1_2</t>
  </si>
  <si>
    <t>Window_Message_BACKUP_BATT_EMPTY</t>
  </si>
  <si>
    <t>Window_Message_FAN_STOPPED</t>
  </si>
  <si>
    <t>Window_Message_SUB_REC_WARNING</t>
  </si>
  <si>
    <t>Window_Message_BACKGROUND_REC_WARNING</t>
  </si>
  <si>
    <t>Window_Message_There_are_clips_that_need_restoration</t>
  </si>
  <si>
    <t>Window_Message_Clip_repairing_Please_wait</t>
  </si>
  <si>
    <t>WindowCategory_RecTelop</t>
  </si>
  <si>
    <t>Window_Message_CARD_ERRORPLEASE_REFORMAT</t>
  </si>
  <si>
    <t>Window_Message_Repair_failed</t>
  </si>
  <si>
    <t>Window_Message_Repair_Battery_low</t>
  </si>
  <si>
    <t>Window_Message_Repair_Low_Battery_Power</t>
  </si>
  <si>
    <t>Window_Message_Repair_completed</t>
  </si>
  <si>
    <t>Window_Message_AVCHD_Maintenance_failed</t>
  </si>
  <si>
    <t>Window_Message_CONTROL_DATA_ERROR_HAS_BEEN_DETECTED</t>
  </si>
  <si>
    <t>Window_Message_CANNOT_RECORD</t>
  </si>
  <si>
    <t>Window_Message_CANNOT_RECORD_CLIPS_MAXIMUM_LIMIT</t>
  </si>
  <si>
    <t>Window_Message_CANNOT_RECORD_DATE_CAPACITY_IS_FULL</t>
  </si>
  <si>
    <t>Window_Message_CANNOT_RECORD_INCOMPATIBLE_CONTROL_DATA</t>
  </si>
  <si>
    <t>Window_Message_Cannot_record_Playlist_capacity_is_full</t>
  </si>
  <si>
    <t>Window_Message_INVALID</t>
  </si>
  <si>
    <t>Window_Message_DISCONNECT_USB_CABLE</t>
  </si>
  <si>
    <t>Window_Message_CANNOT_RECORD_TOP_MENU_IS_DELETED</t>
  </si>
  <si>
    <t>Window_Message_REC_PAUSE_INVALID</t>
  </si>
  <si>
    <t>Window_Message_AWB_ACTIVE</t>
  </si>
  <si>
    <t>Window_Message_AWB_OK</t>
  </si>
  <si>
    <t>Window_Message_AWB_NG</t>
  </si>
  <si>
    <t>Window_Message_AWB_A_ACTIVE</t>
  </si>
  <si>
    <t>Window_Message_AWB_B_ACTIVE</t>
  </si>
  <si>
    <t>Window_Message_AWB_A_OK</t>
  </si>
  <si>
    <t>Window_Message_AWB_B_OK</t>
  </si>
  <si>
    <t>Window_Message_AWB_NG_TIME_OVER</t>
  </si>
  <si>
    <t>Window_Message_AWB_NG_SELECT_TEST_SIG</t>
  </si>
  <si>
    <t>Window_Message_AWB_NG_COLOR_TEMP_LOW</t>
  </si>
  <si>
    <t>Window_Message_AWB_NG_COLOR_TEMP_HIGH</t>
  </si>
  <si>
    <t>Window_Message_AWB_NG_GMg_OVER</t>
  </si>
  <si>
    <t>Window_Message_AWB_NG_LEVEL_OVER</t>
  </si>
  <si>
    <t>Window_Message_AWB_NG_LOW_LIGHT</t>
  </si>
  <si>
    <t>Window_Message_ABB_ACTIVE</t>
  </si>
  <si>
    <t>Window_Message_ABB_OK</t>
  </si>
  <si>
    <t>Window_Message_ABB_NG</t>
  </si>
  <si>
    <t>Window_Message_WRITE_PROTECTED</t>
  </si>
  <si>
    <t>WindowCategory_RecDialog</t>
  </si>
  <si>
    <t>Window_Message_PLEASE_WAIT</t>
  </si>
  <si>
    <t>Window_Message_Delete_the_last_recorded_clip</t>
  </si>
  <si>
    <t>Window_Message_CARD_ERROR_SLOT1</t>
  </si>
  <si>
    <t>Window_Message_CARD_ERROR_SLOT2</t>
  </si>
  <si>
    <t>Window_Message_NOT_SUPPORTED_CARD</t>
  </si>
  <si>
    <t>Window_Message_NOT_SUPPORTED_CARD_SLOT1</t>
  </si>
  <si>
    <t>Window_Message_NOT_SUPPORTED_CARD_SLOT2</t>
  </si>
  <si>
    <t>Window_Message_FORMAT_ERROR_CARD</t>
  </si>
  <si>
    <t>Window_Message_FORMAT_ERROR_CARD_SLOT1</t>
  </si>
  <si>
    <t>Window_Message_FORMAT_ERROR_CARD_SLOT2</t>
  </si>
  <si>
    <t>Window_Message_NOT_SDXC_CARD</t>
  </si>
  <si>
    <t>Window_Message_NOT_SDXC_CARD_SLOT1</t>
  </si>
  <si>
    <t>Window_Message_NOT_SDXC_CARD_SLOT2</t>
  </si>
  <si>
    <t>Window_Message_INCOMPATIBLE_CARD</t>
  </si>
  <si>
    <t>Window_Message_INCOMPATIBLE_CARD_SLOT1</t>
  </si>
  <si>
    <t>Window_Message_INCOMPATIBLE_CARD_SLOT2</t>
  </si>
  <si>
    <t>Window_Message_PLAY_DIR_NG_CARD_SLOT_1</t>
  </si>
  <si>
    <t>Window_Message_PLAY_DIR_NG_CARD_SLOT_2</t>
  </si>
  <si>
    <t>Window_Message_PLAY_DIR_NG_CARD_SLOT_1_2</t>
  </si>
  <si>
    <t>Window_Message_PLAY_RUN_DOWN_CARD_SLOT_1</t>
  </si>
  <si>
    <t>Window_Message_PLAY_RUN_DOWN_CARD_SLOT_2</t>
  </si>
  <si>
    <t>Window_Message_PLAY_RUN_DOWN_CARD_SLOT_1_2</t>
  </si>
  <si>
    <t>Window_Message_PLAY_SD_CARD_SLOT_1</t>
  </si>
  <si>
    <t>Window_Message_PLAY_SD_CARD_SLOT_2</t>
  </si>
  <si>
    <t>Window_Message_PLAY_SD_CARD_SLOT_1_2</t>
  </si>
  <si>
    <t>Window_Message_Play_FAN_STOPPED</t>
  </si>
  <si>
    <t>WindowCategory_PlayTelop</t>
  </si>
  <si>
    <t>Window_Message_CANNOT_PLAY</t>
  </si>
  <si>
    <t>Window_Message_ERROR_PLEASE_REFORMAT</t>
  </si>
  <si>
    <t>Window_Message_UNABLE_TO_FORMAT_R</t>
  </si>
  <si>
    <t>Window_Message_CANNOT_RECORD_DUE_TO_EXISTING_TOPMENU</t>
  </si>
  <si>
    <t>Window_Message_REPAIRING_THUMBNAIL_DATA</t>
  </si>
  <si>
    <t>Window_Message_CANNOT_RECORD_DUE_TO_INCOMPATIBLE_DATA</t>
  </si>
  <si>
    <t>Window_Message_CANNOT_SET_MULTI</t>
  </si>
  <si>
    <t>Window_Message_CONTROL_DATA_ERROR_SD_CARD</t>
  </si>
  <si>
    <t>Window_Message_CANNOT_PLAY_MODEL</t>
  </si>
  <si>
    <t>Window_Message_Play_INVALID</t>
  </si>
  <si>
    <t>Window_Message_NO_6048</t>
  </si>
  <si>
    <t>Window_Message_NO_6050</t>
  </si>
  <si>
    <t>Window_Message_NO_6167</t>
  </si>
  <si>
    <t>Window_Message_CANNOT_USE_DISCONNECT_USB</t>
  </si>
  <si>
    <t>Window_Message_CARD_LOCK</t>
  </si>
  <si>
    <t>Window_Message_NO_CANNOT_SELECTMORE_CLIPS</t>
  </si>
  <si>
    <t>Window_Message_NO_CARD</t>
  </si>
  <si>
    <t>Window_Message_NO_CARD_SLOT1</t>
  </si>
  <si>
    <t>Window_Message_NO_CARD_SLOT2</t>
  </si>
  <si>
    <t>Window_Message_CHECK_CARD</t>
  </si>
  <si>
    <t>Window_Message_THIS_CLIP_CANNOT_BECOPIED</t>
  </si>
  <si>
    <t>Window_Message_CANCELING_COPY_DUE_TO_LOW_BATTERY_POWER</t>
  </si>
  <si>
    <t>Window_Message_CANCELING_COPY_COMPLETED_DUE_TO_LOW_BATTERY_POWER</t>
  </si>
  <si>
    <t>Window_Message_CANNOT_COPY_DATE_CAPACITY_FULL</t>
  </si>
  <si>
    <t>Window_Message_NO_10887</t>
  </si>
  <si>
    <t>Window_Message_CANNOT_COPY_DUE_TO_RECORDED_BY_OTHER_DEVICE</t>
  </si>
  <si>
    <t>Window_Message_NO_10854</t>
  </si>
  <si>
    <t>Window_Message_NO_10855</t>
  </si>
  <si>
    <t>Window_Message_CANNOT_COPY</t>
  </si>
  <si>
    <t>Window_Message_CANNOT_DELETE</t>
  </si>
  <si>
    <t>Window_Message_THE_CLIP_ISPROTECTED</t>
  </si>
  <si>
    <t>Window_Message_CANNOT_DELETE_DUE_TO_EXISTING_TOPMENU</t>
  </si>
  <si>
    <t>Window_Message_CANNOT_PROTECT</t>
  </si>
  <si>
    <t>Window_Message_CONNECT_AC_ADAPTER_OR_CHANGE_BATTERY</t>
  </si>
  <si>
    <t>Window_Message_ERROR_REPAIR_CONTROL_DATA_CONNECT_AC</t>
  </si>
  <si>
    <t>WindowCategory_PlayDialog</t>
  </si>
  <si>
    <t>Window_Message_COPY_FAILED_CHECK_THE_CARD</t>
  </si>
  <si>
    <t>Window_Message_CANNOT_COPY_THE_NUMBER_OF_CLIPS_HASREACHED_MAXIMUM</t>
  </si>
  <si>
    <t>Window_Message_CANNOT_COPY_PLAYLIST_CAPACITY_IS_FULL</t>
  </si>
  <si>
    <t>Window_Message_EXCEEDS_CAPACITY</t>
  </si>
  <si>
    <t>Window_Message_NO_6043</t>
  </si>
  <si>
    <t>Window_Message_SELECT_THE_CLIPSTO_COPY</t>
  </si>
  <si>
    <t>Window_Message_CANNOT_COPY_DIALOG</t>
  </si>
  <si>
    <t>Window_Message_COPY_COMPLETED_DIALOG</t>
  </si>
  <si>
    <t>Window_Message_COPY_CANCELED_DIALOG</t>
  </si>
  <si>
    <t>Window_Message_CARD_LOCK_COPY_DOIALOG</t>
  </si>
  <si>
    <t>Window_Message_CONFIRM_COPY_DIALOG</t>
  </si>
  <si>
    <t>Window_Message_NO_DATA_COPY</t>
  </si>
  <si>
    <t>Window_Message_CANNOT_DELETE_DIALOG</t>
  </si>
  <si>
    <t>Window_Message_SELECT_THE_CLIP_TO_BE_DELETED</t>
  </si>
  <si>
    <t>Window_Message_DELETE_COMPLETED_DIALOG</t>
  </si>
  <si>
    <t>Window_Message_DELETE_CANCELED_DIALOG</t>
  </si>
  <si>
    <t>Window_Message_CARD_LOCK_DELETE_DIALOG</t>
  </si>
  <si>
    <t>Window_Message_CONFIRM_DELETE_DIALOG</t>
  </si>
  <si>
    <t>Window_Message_NO_DATA_DELETE</t>
  </si>
  <si>
    <t>Window_Message_NO_DATA_PROTECT</t>
  </si>
  <si>
    <t>Window_Message_REPAIR</t>
  </si>
  <si>
    <t>Window_Message_REPAIRING</t>
  </si>
  <si>
    <t>Window_Message_REPAIR_COMPLETED</t>
  </si>
  <si>
    <t>Window_Message_REPAIR_FAILED</t>
  </si>
  <si>
    <t>WindowID_Menu_NETWORK_INIT</t>
  </si>
  <si>
    <t>WindowID_Menu_PLEASEWAIT</t>
  </si>
  <si>
    <t>WindowID_Menu_CHECK_CARD</t>
  </si>
  <si>
    <t>WindowID_Menu_CARD_LOCK</t>
  </si>
  <si>
    <t>WindowID_Menu_FORMAT_CONFIRM</t>
  </si>
  <si>
    <t>WindowID_Menu_FORMAT_CONFIRM_CARD1</t>
  </si>
  <si>
    <t>WindowID_Menu_FORMAT_CONFIRM_CARD2</t>
  </si>
  <si>
    <t>WindowID_Menu_NO_CARD</t>
  </si>
  <si>
    <t>WindowID_Menu_NO_CARD_PROTECT_SELECT</t>
  </si>
  <si>
    <t>WindowID_Menu_NO_CARD_DELET_ALL</t>
  </si>
  <si>
    <t>WindowID_Menu_NO_CARD_DELET_SELECT</t>
  </si>
  <si>
    <t>WindowID_Menu_NO_CARD_COPY_ALL_SLOT1_SLOT2</t>
  </si>
  <si>
    <t>WindowID_Menu_NO_CARD_COPY_ALL_SLOT2_SLOT1</t>
  </si>
  <si>
    <t>WindowID_Menu_NO_CARD_COPY_SELECT_SLOT1_SLOT2</t>
  </si>
  <si>
    <t>WindowID_Menu_NO_CARD_COPY_SELECT_SLOT2_SLOT1</t>
  </si>
  <si>
    <t>WindowID_Menu_INSERT_CARD1</t>
  </si>
  <si>
    <t>WindowID_Menu_INSERT_CARD2</t>
  </si>
  <si>
    <t>WindowID_Menu_FORMAT_COMPLETE</t>
  </si>
  <si>
    <t>WindowID_Menu_FORMAT_FAIL</t>
  </si>
  <si>
    <t>WindowID_Menu_LOAD_COMPLETE</t>
  </si>
  <si>
    <t>WindowID_Menu_SAVE_COMPLETE</t>
  </si>
  <si>
    <t>WindowID_Menu_INIT_COMPLETE</t>
  </si>
  <si>
    <t>WindowID_Menu_CHANGE_FREQ_CONFIRM</t>
  </si>
  <si>
    <t>Window_Menu_ABB_ACTIVE</t>
  </si>
  <si>
    <t>Window_Menu_ABB_OK</t>
  </si>
  <si>
    <t>Window_Menu_ABB_NG</t>
  </si>
  <si>
    <t>WindowID_Menu_LOWBATTERY_WARNING</t>
  </si>
  <si>
    <t>WindowID_Menu_USER_ACCOUNT_DELETE_CONFIRM</t>
  </si>
  <si>
    <t>WindowID_Menu_NETWORK_CONNECTION_HISTORY_DELETE_CONFIRM</t>
  </si>
  <si>
    <t>Window_Menu_FILE_LOAD_OK</t>
  </si>
  <si>
    <t>Window_Menu_FILE_LOAD_NG</t>
  </si>
  <si>
    <t>Window_Menu_FILE_SAVE_OK</t>
  </si>
  <si>
    <t>Window_Menu_FILE_SAVE_NG</t>
  </si>
  <si>
    <t>Window_Menu_SCENE_FILE_LOAD_OK</t>
  </si>
  <si>
    <t>Window_Menu_SCENE_FILE_LOAD_NG</t>
  </si>
  <si>
    <t>Window_Menu_SCENE_FILE_SAVE_OK</t>
  </si>
  <si>
    <t>Window_Menu_SCENE_FILE_SAVE_NG</t>
  </si>
  <si>
    <t>Window_Menu_SCENE_FILE_SAVE_AS_OK</t>
  </si>
  <si>
    <t>Window_Menu_SCENE_FILE_SAVE_AS_NG</t>
  </si>
  <si>
    <t>Window_Menu_SETUP_FILE_LOAD_OK</t>
  </si>
  <si>
    <t>Window_Menu_SETUP_FILE_LOAD_NG</t>
  </si>
  <si>
    <t>Window_Menu_SETUP_FILE_SAVE_OK</t>
  </si>
  <si>
    <t>Window_Menu_SETUP_FILE_SAVE_NG</t>
  </si>
  <si>
    <t>Window_Menu_SETUP_FILE_SAVE_AS_OK</t>
  </si>
  <si>
    <t>Window_Menu_SETUP_FILE_SAVE_AS_NG</t>
  </si>
  <si>
    <t>Window_Menu_SCENE_FILE_SAVE_CONFIRM</t>
  </si>
  <si>
    <t>Window_Menu_SCENE_FILE_SAVE_AS_CONFIRM</t>
  </si>
  <si>
    <t>Window_Menu_SCENE_FILE_LOAD_CONFIRM</t>
  </si>
  <si>
    <t>Window_Menu_SETUP_FILE_SAVE_CONFIRM</t>
  </si>
  <si>
    <t>Window_Menu_SETUP_FILE_SAVE_AS_CONFIRM</t>
  </si>
  <si>
    <t>Window_Menu_SETUP_FILE_LOAD_CONFIRM</t>
  </si>
  <si>
    <t>Window_Menu_SCENE_FILE_SAVE_OVERWRITE</t>
  </si>
  <si>
    <t>Window_Menu_SCENE_FILE_SAVE_AS_OVERWRITE</t>
  </si>
  <si>
    <t>Window_Menu_SETUP_FILE_SAVE_OVERWRITE</t>
  </si>
  <si>
    <t>Window_Menu_SETUP_FILE_SAVE_AS_OVERWRITE</t>
  </si>
  <si>
    <t>WindowID_Menu_SETUP_FILE_INIT</t>
  </si>
  <si>
    <t>WindowID_Menu_ALL_INIT</t>
  </si>
  <si>
    <t>WindowID_Menu_STREAM_CLEAR</t>
  </si>
  <si>
    <t>WindowID_Menu_ACTIVATE_CLEAR</t>
  </si>
  <si>
    <t>WindowID_Menu_CHANGE_DEVICESEL_CONFIRM</t>
  </si>
  <si>
    <t>WindowID_Menu_LAN_IPV6_DHCP_CONFIRM</t>
  </si>
  <si>
    <t>WindowID_Menu_LAN_IPV4_DHCP_CONFIRM</t>
  </si>
  <si>
    <t>WindowID_Menu_WLAN_IPV6_DHCP_CONFIRM</t>
  </si>
  <si>
    <t>WindowID_Menu_WLAN_IPV4_DHCP_CONFIRM</t>
  </si>
  <si>
    <t>WindowID_Menu_SETUP_MEMFILE_LOAD_CONFIRM</t>
  </si>
  <si>
    <t>WindowID_Menu_SETUP_SAVE_COMPLETE</t>
  </si>
  <si>
    <t>WindowID_Menu_STREAM_FILE_LOAD_OK</t>
  </si>
  <si>
    <t>WindowID_Menu_STREAM_FILE_LOAD_NG</t>
  </si>
  <si>
    <t>WindowID_Menu_STREAM_FILE_SAVE_OK</t>
  </si>
  <si>
    <t>WindowID_Menu_STREAM_FILE_SAVE_NG</t>
  </si>
  <si>
    <t>WindowID_Menu_NETWORK_LOG_SAVE_OK</t>
  </si>
  <si>
    <t>WindowID_Menu_NETWORK_LOG_SAVE_NG</t>
  </si>
  <si>
    <t>WindowID_Menu_PLEASEWAIT_NETWORK_INITIALIZE</t>
  </si>
  <si>
    <t>WindowID_Menu_PLEASEWAIT_OTHERS_FILE</t>
  </si>
  <si>
    <t>WindowID_Menu_PLEASEWAIT_MENU_INITIALIZE</t>
  </si>
  <si>
    <t>WindowID_Menu_CARD_LOCK_SLOT1</t>
  </si>
  <si>
    <t>WindowID_Menu_FORMAT_COMPLETE_SLOT1</t>
  </si>
  <si>
    <t>WindowID_Menu_FORMAT_FAIL_SLOT1</t>
  </si>
  <si>
    <t>WindowID_Menu_CARD_LOCK_SLOT2</t>
  </si>
  <si>
    <t>WindowID_Menu_FORMAT_COMPLETE_SLOT2</t>
  </si>
  <si>
    <t>WindowID_Menu_FORMAT_FAIL_SLOT2</t>
  </si>
  <si>
    <t>WindowID_Menu_PLEASEWAIT_FORMAT_SLOT1</t>
  </si>
  <si>
    <t>WindowID_Menu_PLEASEWAIT_FORMAT_SLOT2</t>
  </si>
  <si>
    <t>WindowID_Menu_PLEASEWAIT_SSID</t>
  </si>
  <si>
    <t>WindowID_Menu_CHECK_CARD_SLOT1</t>
  </si>
  <si>
    <t>WindowID_Menu_CHECK_CARD_SLOT2</t>
  </si>
  <si>
    <t>WindowID_Menu_SCENE_MEMFILE_LOAD_CONFIRM</t>
  </si>
  <si>
    <t>WindowID_Menu_SCENE_MEMFILE_SAVE_CONFIRM</t>
  </si>
  <si>
    <t>WindowID_Menu_SETUP_MEMFILE_SAVE_CONFIRM</t>
  </si>
  <si>
    <t>WindowID_Menu_SCENE_MEMFILE_INIT_CONFIRM</t>
  </si>
  <si>
    <t>WindowID_Menu_CHANGE_NDI_HX_CONFIRM</t>
  </si>
  <si>
    <t>WindowID_Menu_PLEASEWAIT_UPDATE</t>
  </si>
  <si>
    <t>WindowCategory_OtherTelop</t>
  </si>
  <si>
    <t>Window_Message_CANNOT_RE_CONNECT</t>
  </si>
  <si>
    <t>Window_Message_COPY_IMPOSSIBLE_TOO_LARGE_CLIP_CONTAINED</t>
  </si>
  <si>
    <t>Window_Message_MISSING_CLIP</t>
  </si>
  <si>
    <t>Window_Message_USER_CLIP_NAME_MODIFIED</t>
  </si>
  <si>
    <t>Window_Message_UNABLE_TO_FORMAT</t>
  </si>
  <si>
    <t>Window_Message_CANNOT_REPAIR_CONTROL_INFORMATION</t>
  </si>
  <si>
    <t>Window_Message_CANNOT_DELETE_UNTIL_TOP_MENU_IS_DELETED</t>
  </si>
  <si>
    <t>Window_Message_CANNOT_RECORD_UNTIL_TOP_MENU_IS_DELETED</t>
  </si>
  <si>
    <t>Window_Message_THUMBNAIL_DATA_ERROR_IS_DETECTED</t>
  </si>
  <si>
    <t>Window_Message_COPY_TERMINATION_IN_PROGRESS</t>
  </si>
  <si>
    <t>Window_Message_COPY_TERMINATED_DUE_TO_INSUFFICIENT_BATTERY_POWER</t>
  </si>
  <si>
    <t>Window_Message_ERROR_HAS_OCCURRED_TO_REPAIR_THE_CONTROL_DATA</t>
  </si>
  <si>
    <t>Window_Message_CARD_LOCKED</t>
  </si>
  <si>
    <t>WindowCategory_OtherDialog</t>
  </si>
  <si>
    <t>Window_Usb_Service_Connected</t>
  </si>
  <si>
    <t>Window_Usb_Service_UnConnected</t>
  </si>
  <si>
    <t>Window_Mass_Strage_Connected</t>
  </si>
  <si>
    <t>Window_Mass_Strage_UnConnected</t>
  </si>
  <si>
    <t>WindowID_Menu_SCENEFILE_NAME</t>
  </si>
  <si>
    <t>WindowID_Menu_NAME_EDIT</t>
  </si>
  <si>
    <t>WindowID_Menu_CAM_INDEX</t>
  </si>
  <si>
    <t>WindowID_Menu_NEXT_REEL_COUNT</t>
  </si>
  <si>
    <t>WindowID_Menu_USER_ACCOUNT</t>
  </si>
  <si>
    <t>WindowID_Menu_USER_ACCOUNT_PASSWORD</t>
  </si>
  <si>
    <t>WindowID_Menu_PORT</t>
  </si>
  <si>
    <t>WindowID_Menu_RECEIVER_URL</t>
  </si>
  <si>
    <t>WindowID_Menu_LAN_IP_ADDRESS</t>
  </si>
  <si>
    <t>WindowID_Menu_LAN_SUBNET_MASK</t>
  </si>
  <si>
    <t>WindowID_Menu_LAN_DEFAULT_GATE_WAY</t>
  </si>
  <si>
    <t>WindowID_Menu_LAN_PRIMARY_DNS</t>
  </si>
  <si>
    <t>WindowID_Menu_LAN_SECONDARY_DNS</t>
  </si>
  <si>
    <t>WindowID_Menu_LAN_IP_ADDRESS_V6</t>
  </si>
  <si>
    <t>WindowID_Menu_LAN_PREFIX_LENGTH_V6</t>
  </si>
  <si>
    <t>WindowID_Menu_LAN_DEFAULT_GATE_WAY_V6</t>
  </si>
  <si>
    <t>WindowID_Menu_LAN_PRIMARY_DNS_V6</t>
  </si>
  <si>
    <t>WindowID_Menu_LAN_SECONDARY_DNS_V6</t>
  </si>
  <si>
    <t>WindowID_Menu_SSID</t>
  </si>
  <si>
    <t>WindowID_Menu_ENCRYPT_KEY</t>
  </si>
  <si>
    <t>WindowID_Menu_IP_ADDRESS</t>
  </si>
  <si>
    <t>WindowID_Menu_SUBNET_MASK</t>
  </si>
  <si>
    <t>WindowID_Menu_DEFAULT_GATE_WAY</t>
  </si>
  <si>
    <t>WindowID_Menu_PRIMARY_DNS</t>
  </si>
  <si>
    <t>WindowID_Menu_SECONDARY_DNS</t>
  </si>
  <si>
    <t>WindowID_Menu_IP_ADDRESS_V6</t>
  </si>
  <si>
    <t>WindowID_Menu_PREFIX_LENGTH_V6</t>
  </si>
  <si>
    <t>WindowID_Menu_DEFAULT_GATE_WAY_V6</t>
  </si>
  <si>
    <t>WindowID_Menu_PRIMARY_DNS_V6</t>
  </si>
  <si>
    <t>WindowID_Menu_SECONDARY_DNS_V6</t>
  </si>
  <si>
    <t>WindowID_Menu_EASY_IP_CAMERA_TITLE</t>
  </si>
  <si>
    <t>WindowID_Menu_SCENE_FILE_SAVE_AS</t>
  </si>
  <si>
    <t>WindowID_Menu_SETUP_FILE_SAVE_AS</t>
  </si>
  <si>
    <t>Window_Menu_SCENE_FILE_SAVE_KEYBOARD</t>
  </si>
  <si>
    <t>Window_Menu_SETUP_FILE_SAVE_KEYBOARD</t>
  </si>
  <si>
    <t>WindowID_Menu_UPDATE_CONFIRM</t>
  </si>
  <si>
    <t>WindowID_Menu_VERSION</t>
  </si>
  <si>
    <t>WindowID_Menu_OPERATION_TIME</t>
  </si>
  <si>
    <t>WindowID_Menu_LOW_GAIN</t>
  </si>
  <si>
    <t>WindowID_Menu_MID_GAIN</t>
  </si>
  <si>
    <t>WindowID_Menu_HIGH_GAIN</t>
  </si>
  <si>
    <t>WindowID_Menu_ATW_TARGET_R</t>
  </si>
  <si>
    <t>WindowID_Menu_ATW_TARGET_B</t>
  </si>
  <si>
    <t>WindowID_Menu_WBAL_VAR</t>
  </si>
  <si>
    <t>WindowID_Menu_H_ZOOM_SPEED</t>
  </si>
  <si>
    <t>WindowID_Menu_AF_SPEED</t>
  </si>
  <si>
    <t>WindowID_Menu_FRAME_RATE</t>
  </si>
  <si>
    <t>WindowID_Menu_SYNCHRO_SCAN</t>
  </si>
  <si>
    <t>WindowID_Menu_MASTER_DTL</t>
  </si>
  <si>
    <t>WindowID_Menu_DTL_CORING</t>
  </si>
  <si>
    <t>WindowID_Menu_V_DTL_LEVEL</t>
  </si>
  <si>
    <t>WindowID_Menu_DTL_FREQ</t>
  </si>
  <si>
    <t>WindowID_Menu_LEVEL_DEPEND</t>
  </si>
  <si>
    <t>WindowID_Menu_KNEE_APE_LVL</t>
  </si>
  <si>
    <t>WindowID_Menu_DTL_GAIN_PLUS</t>
  </si>
  <si>
    <t>WindowID_Menu_DTL_GAIN_MINUS</t>
  </si>
  <si>
    <t>WindowID_Menu_SKIN_DTL_EFFECT</t>
  </si>
  <si>
    <t>WindowID_Menu_I_CENTER</t>
  </si>
  <si>
    <t>WindowID_Menu_I_WIDTH</t>
  </si>
  <si>
    <t>WindowID_Menu_Q_WIDTH</t>
  </si>
  <si>
    <t>WindowID_Menu_Q_PHASE</t>
  </si>
  <si>
    <t>WindowID_Menu_R_GAIN_AWB_PRE</t>
  </si>
  <si>
    <t>WindowID_Menu_B_GAIN_AWB_PRE</t>
  </si>
  <si>
    <t>WindowID_Menu_R_GAIN_AWB_A</t>
  </si>
  <si>
    <t>WindowID_Menu_B_GAIN_AWB_A</t>
  </si>
  <si>
    <t>WindowID_Menu_R_GAIN_AWB_B</t>
  </si>
  <si>
    <t>WindowID_Menu_B_GAIN_AWB_B</t>
  </si>
  <si>
    <t>WindowID_Menu_AWB_A_GAIN_OFFSET</t>
  </si>
  <si>
    <t>WindowID_Menu_AWB_B_GAIN_OFFSET</t>
  </si>
  <si>
    <t>WindowID_Menu_A_COLOR_TEMP</t>
  </si>
  <si>
    <t>WindowID_Menu_A_R_Gain</t>
  </si>
  <si>
    <t>WindowID_Menu_A_B_Gain</t>
  </si>
  <si>
    <t>WindowID_Menu_A_G_AXIS</t>
  </si>
  <si>
    <t>WindowID_Menu_B_COLOR_TEMP</t>
  </si>
  <si>
    <t>WindowID_Menu_B_R_Gain</t>
  </si>
  <si>
    <t>WindowID_Menu_B_B_Gain</t>
  </si>
  <si>
    <t>WindowID_Menu_B_G_AXIS</t>
  </si>
  <si>
    <t>WindowID_Menu_CHROMA_LEVEL</t>
  </si>
  <si>
    <t>WindowID_Menu_CHROMA_PHASE</t>
  </si>
  <si>
    <t>WindowID_Menu_MATRIX</t>
  </si>
  <si>
    <t>WindowID_Menu_R_G</t>
  </si>
  <si>
    <t>WindowID_Menu_R_B</t>
  </si>
  <si>
    <t>WindowID_Menu_G_R</t>
  </si>
  <si>
    <t>WindowID_Menu_G_B</t>
  </si>
  <si>
    <t>WindowID_Menu_B_R</t>
  </si>
  <si>
    <t>WindowID_Menu_B_G</t>
  </si>
  <si>
    <t>WindowID_Menu_R_SAT</t>
  </si>
  <si>
    <t>WindowID_Menu_R_PHASE</t>
  </si>
  <si>
    <t>WindowID_Menu_R_R_Mg_SAT</t>
  </si>
  <si>
    <t>WindowID_Menu_R_R_Mg_PHASE</t>
  </si>
  <si>
    <t>WindowID_Menu_R_Mg_SAT</t>
  </si>
  <si>
    <t>WindowID_Menu_R_Mg_PHASE</t>
  </si>
  <si>
    <t>WindowID_Menu_Mg_SAT</t>
  </si>
  <si>
    <t>WindowID_Menu_Mg_PHASE</t>
  </si>
  <si>
    <t>WindowID_Menu_Mg_B_SAT</t>
  </si>
  <si>
    <t>WindowID_Menu_Mg_B_PHASE</t>
  </si>
  <si>
    <t>WindowID_Menu_B_SAT</t>
  </si>
  <si>
    <t>WindowID_Menu_B_PHASE</t>
  </si>
  <si>
    <t>WindowID_Menu_B_Cy_SAT</t>
  </si>
  <si>
    <t>WindowID_Menu_B_Cy_PHASE</t>
  </si>
  <si>
    <t>WindowID_Menu_Cy_SAT</t>
  </si>
  <si>
    <t>WindowID_Menu_Cy_PHASE</t>
  </si>
  <si>
    <t>WindowID_Menu_Cy_G_SAT</t>
  </si>
  <si>
    <t>WindowID_Menu_Cy_G_PHASE</t>
  </si>
  <si>
    <t>WindowID_Menu_G_SAT</t>
  </si>
  <si>
    <t>WindowID_Menu_G_PHASE</t>
  </si>
  <si>
    <t>WindowID_Menu_G_Yl_SAT</t>
  </si>
  <si>
    <t>WindowID_Menu_G_Yl_PHASE</t>
  </si>
  <si>
    <t>WindowID_Menu_G_Yl_Yl_SAT</t>
  </si>
  <si>
    <t>WindowID_Menu_G_Yl_Yl_PHASE</t>
  </si>
  <si>
    <t>WindowID_Menu_Yl_SAT</t>
  </si>
  <si>
    <t>WindowID_Menu_Yl_PHASE</t>
  </si>
  <si>
    <t>WindowID_Menu_Yl_Yl_R_SAT</t>
  </si>
  <si>
    <t>WindowID_Menu_Yl_Yl_R_PHASE</t>
  </si>
  <si>
    <t>WindowID_Menu_Yl_R_SAT</t>
  </si>
  <si>
    <t>WindowID_Menu_Yl_R_PHASE</t>
  </si>
  <si>
    <t>WindowID_Menu_Yl_R_R_SAT</t>
  </si>
  <si>
    <t>WindowID_Menu_Yl_R_R_PHASE</t>
  </si>
  <si>
    <t>WindowID_Menu_MASTER_PED</t>
  </si>
  <si>
    <t>WindowID_Menu_R_PED</t>
  </si>
  <si>
    <t>WindowID_Menu_G_PED</t>
  </si>
  <si>
    <t>WindowID_Menu_B_PED</t>
  </si>
  <si>
    <t>WindowID_Menu_PEDESTAL_OFFSET</t>
  </si>
  <si>
    <t>WindowID_Menu_MASTER_GAMMA</t>
  </si>
  <si>
    <t>WindowID_Menu_F_REC_BLACK_STR_LVL</t>
  </si>
  <si>
    <t>WindowID_Menu_V_REC_KNEE_POINT</t>
  </si>
  <si>
    <t>WindowID_Menu_BLACK_GAMMA</t>
  </si>
  <si>
    <t>WindowID_Menu_B_GAMMA_RANGE</t>
  </si>
  <si>
    <t>WindowID_Menu_AKNEE_RESPONSE</t>
  </si>
  <si>
    <t>WindowID_Menu_KNEE_POINT</t>
  </si>
  <si>
    <t>WindowID_Menu_KNEE_SLOPE</t>
  </si>
  <si>
    <t>WindowID_Menu_HLG_KNEE_POINT</t>
  </si>
  <si>
    <t>WindowID_Menu_HLG_KNEE_SLOPE</t>
  </si>
  <si>
    <t>WindowID_Menu_WHITE_CLIP_LVL</t>
  </si>
  <si>
    <t>WindowID_Menu_DRS_EFFECT_DEPTH</t>
  </si>
  <si>
    <t>WindowID_Menu_DNR</t>
  </si>
  <si>
    <t>WindowID_Menu_AIRIS_LEVEL_EFFECT</t>
  </si>
  <si>
    <t>WindowID_Menu_CH3_LEVEL_CONTROL</t>
  </si>
  <si>
    <t>WindowID_Menu_CH4_LEVEL_CONTROL</t>
  </si>
  <si>
    <t>WindowID_Menu_LCD_BRIGHTNESS</t>
  </si>
  <si>
    <t>WindowID_Menu_LCD_COLOR_LEVEL</t>
  </si>
  <si>
    <t>WindowID_Menu_LCD_CONTRAST</t>
  </si>
  <si>
    <t>WindowID_Menu_BACK_LIGHT</t>
  </si>
  <si>
    <t>WindowID_Menu_VF_BRIGHTNESS</t>
  </si>
  <si>
    <t>WindowID_Menu_VF_COLOR_LEVEL</t>
  </si>
  <si>
    <t>WindowID_Menu_VF_CONTRAST</t>
  </si>
  <si>
    <t>WindowID_Menu_LCD_CENTER_MARKER</t>
  </si>
  <si>
    <t>WindowID_Menu_LCD_SAFETY_MARKER</t>
  </si>
  <si>
    <t>WindowID_Menu_LCD_SAFETY_AREA</t>
  </si>
  <si>
    <t>WindowID_Menu_LCD_FRAME_MARKER</t>
  </si>
  <si>
    <t>WindowID_Menu_LCD_FRAME_COLOR</t>
  </si>
  <si>
    <t>WindowID_Menu_DETAIL</t>
  </si>
  <si>
    <t>WindowID_Menu_DETAIL_LEVEL</t>
  </si>
  <si>
    <t>WindowID_Menu_DETAIL_FREQ</t>
  </si>
  <si>
    <t>WindowID_Menu_ZEBRA1_DETECT</t>
  </si>
  <si>
    <t>WindowID_Menu_ZEBRA2_DETECT</t>
  </si>
  <si>
    <t>WindowID_Menu_ZEBRA2</t>
  </si>
  <si>
    <t>WindowID_Menu_WFM_TRANSPARENCE</t>
  </si>
  <si>
    <t>WindowID_Fact_VERSION</t>
  </si>
  <si>
    <t>WindowID_Fact_HOUR_METERS</t>
  </si>
  <si>
    <t>WindowID_Fact_KEY_TEST1</t>
  </si>
  <si>
    <t>WindowID_Fact_InitialResult</t>
  </si>
  <si>
    <t>WindowID_Fact_DispMessage</t>
  </si>
  <si>
    <t>WindowID_Fact_DISTINATION</t>
  </si>
  <si>
    <t>WindowID_Fact_DistResult</t>
  </si>
  <si>
    <t>WindowID_Fact_PleaseWait</t>
  </si>
  <si>
    <t>WindowID_Fact_SaveOK</t>
  </si>
  <si>
    <t>WindowID_Fact_SaveNG</t>
  </si>
  <si>
    <t>WindowID_Fact_END</t>
  </si>
  <si>
    <t>WindowID_Menu_UPDATE_COMPLETE</t>
  </si>
  <si>
    <t>WindowMainCategory_Work</t>
  </si>
  <si>
    <t>WindowID_MAX</t>
  </si>
  <si>
    <t>WindowCategory_FactList</t>
  </si>
  <si>
    <t>WindowCategory_FactList</t>
    <phoneticPr fontId="1"/>
  </si>
  <si>
    <t>../Window/FACT/FactWindowId.def</t>
    <phoneticPr fontId="1"/>
  </si>
  <si>
    <t>WindowCategory_FactDialog</t>
  </si>
  <si>
    <t>WindowCategory_FactDialog</t>
    <phoneticPr fontId="1"/>
  </si>
  <si>
    <t>WindowCategory_KeyTest</t>
  </si>
  <si>
    <t>WindowCategory_KeyTest</t>
    <phoneticPr fontId="1"/>
  </si>
  <si>
    <t>WindowCategory_FactTest</t>
  </si>
  <si>
    <t>WindowCategory_FactTest</t>
    <phoneticPr fontId="1"/>
  </si>
  <si>
    <t>WindowCategory_FactOther</t>
  </si>
  <si>
    <t>WindowCategory_FactOther</t>
    <phoneticPr fontId="1"/>
  </si>
  <si>
    <t>WindowMainCategory_Other</t>
    <phoneticPr fontId="1"/>
  </si>
  <si>
    <t>WindowCategory_Common</t>
  </si>
  <si>
    <t>WindowCategory_Common</t>
    <phoneticPr fontId="1"/>
  </si>
  <si>
    <t>Window_NULL</t>
    <phoneticPr fontId="1"/>
  </si>
  <si>
    <t>WindowCategory_AreaSetting</t>
  </si>
  <si>
    <t>WindowCategory_AreaSetting</t>
    <phoneticPr fontId="1"/>
  </si>
  <si>
    <t>Window_Area_Setting</t>
    <phoneticPr fontId="1"/>
  </si>
  <si>
    <t>Window_Area_Setting_Confirm</t>
    <phoneticPr fontId="1"/>
  </si>
  <si>
    <t>WindowCategory_Other</t>
  </si>
  <si>
    <t>WindowCategory_Other</t>
    <phoneticPr fontId="1"/>
  </si>
  <si>
    <t>WindowCategory_SandBox</t>
  </si>
  <si>
    <t>WindowCategory_SandBox</t>
    <phoneticPr fontId="1"/>
  </si>
  <si>
    <t>WindowCategory_TransitionA</t>
  </si>
  <si>
    <t>WindowCategory_TransitionA</t>
    <phoneticPr fontId="1"/>
  </si>
  <si>
    <t>WindowCategory_TransitionB</t>
  </si>
  <si>
    <t>WindowCategory_MenuListPop</t>
  </si>
  <si>
    <t>WindowCategory_MenuList5rh</t>
  </si>
  <si>
    <t>WindowCategory_MenuList4th</t>
  </si>
  <si>
    <t>WindowCategory_MenuList3rd</t>
  </si>
  <si>
    <t>WindowCategory_MenuList2nd</t>
  </si>
  <si>
    <t>WindowCategory_MenuList1st</t>
  </si>
  <si>
    <t>WindowCategory_MenuListTop</t>
  </si>
  <si>
    <t>WindowSubCategory_MenuList</t>
    <phoneticPr fontId="1"/>
  </si>
  <si>
    <t>WindowCategory_MenuOther</t>
  </si>
  <si>
    <t>WindowCategory_MenuOther</t>
    <phoneticPr fontId="1"/>
  </si>
  <si>
    <t>WindowCategory_OldMenu</t>
  </si>
  <si>
    <t>WindowCategory_OldMenu</t>
    <phoneticPr fontId="1"/>
  </si>
  <si>
    <t>WindowCategory_2List</t>
  </si>
  <si>
    <t>WindowCategory_2List</t>
    <phoneticPr fontId="1"/>
  </si>
  <si>
    <t>WindowCategory_NetWork</t>
  </si>
  <si>
    <t>WindowCategory_NetWork</t>
    <phoneticPr fontId="1"/>
  </si>
  <si>
    <t>WindowCategory_Toggle</t>
  </si>
  <si>
    <t>WindowCategory_Toggle</t>
    <phoneticPr fontId="1"/>
  </si>
  <si>
    <t>WindowCategory_Dialog</t>
  </si>
  <si>
    <t>WindowCategory_Dialog</t>
    <phoneticPr fontId="1"/>
  </si>
  <si>
    <t>WindowCategory_Keyboard</t>
  </si>
  <si>
    <t>WindowCategory_Keyboard</t>
    <phoneticPr fontId="1"/>
  </si>
  <si>
    <t>WindowMainCategory_Menu</t>
    <phoneticPr fontId="1"/>
  </si>
  <si>
    <t>WindowCategory_HomeInfo</t>
  </si>
  <si>
    <t>WindowCategory_HomeInfo</t>
    <phoneticPr fontId="1"/>
  </si>
  <si>
    <t>WindowCategory_HomeTop</t>
  </si>
  <si>
    <t>WindowCategory_HomeTop</t>
    <phoneticPr fontId="1"/>
  </si>
  <si>
    <t>WindowMainCategory_Home</t>
    <phoneticPr fontId="1"/>
  </si>
  <si>
    <t>WindowCategory_ClipEdit</t>
  </si>
  <si>
    <t>WindowCategory_ClipEdit</t>
    <phoneticPr fontId="1"/>
  </si>
  <si>
    <t>WindowCategory_ClipInfo</t>
  </si>
  <si>
    <t>WindowCategory_ClipInfo</t>
    <phoneticPr fontId="1"/>
  </si>
  <si>
    <t>WindowCategory_PlayBack</t>
  </si>
  <si>
    <t>WindowCategory_PlayBack</t>
    <phoneticPr fontId="1"/>
  </si>
  <si>
    <t>WindowCategory_Thumbnail</t>
  </si>
  <si>
    <t>WindowCategory_Thumbnail</t>
    <phoneticPr fontId="1"/>
  </si>
  <si>
    <t>WindowMainCategory_Play</t>
    <phoneticPr fontId="1"/>
  </si>
  <si>
    <t>WindowCategory_RecInfo</t>
  </si>
  <si>
    <t>WindowCategory_RecInfo</t>
    <phoneticPr fontId="1"/>
  </si>
  <si>
    <t>WindowCategory_RecPlayBack</t>
  </si>
  <si>
    <t>WindowCategory_RecPlayBack</t>
    <phoneticPr fontId="1"/>
  </si>
  <si>
    <t>WindowCategory_RecView</t>
  </si>
  <si>
    <t>WindowCategory_RecView</t>
    <phoneticPr fontId="1"/>
  </si>
  <si>
    <t>WindowMainCategory_Rec</t>
    <phoneticPr fontId="1"/>
  </si>
  <si>
    <t>WindowID_Menu_TOP</t>
  </si>
  <si>
    <t>WindowID_Fact_TOP</t>
  </si>
  <si>
    <t>WindowID_Menu_2</t>
  </si>
  <si>
    <t>WindowID_Menu_50</t>
  </si>
  <si>
    <t>WindowID_Menu_SCENE_FILE</t>
  </si>
  <si>
    <t>WindowID_Menu_940</t>
  </si>
  <si>
    <t>WindowID_Menu_1025</t>
  </si>
  <si>
    <t>WindowID_Menu_1296</t>
  </si>
  <si>
    <t>WindowID_Menu_NETWORK</t>
  </si>
  <si>
    <t>WindowID_Menu_1653</t>
  </si>
  <si>
    <t>WindowID_Menu_1756</t>
  </si>
  <si>
    <t>WindowID_Menu_1825</t>
  </si>
  <si>
    <t>WindowID_Menu_3</t>
  </si>
  <si>
    <t>WindowID_Menu_17</t>
  </si>
  <si>
    <t>WindowID_Menu_38</t>
  </si>
  <si>
    <t>WindowID_Menu_51</t>
  </si>
  <si>
    <t>WindowID_Menu_127</t>
  </si>
  <si>
    <t>WindowID_Menu_158</t>
  </si>
  <si>
    <t>WindowID_Menu_756</t>
  </si>
  <si>
    <t>WindowID_Menu_770</t>
  </si>
  <si>
    <t>WindowID_Menu_SKIN_TONE_DTL_SETTING</t>
  </si>
  <si>
    <t>WindowID_Menu_802</t>
  </si>
  <si>
    <t>WindowID_Menu_815</t>
  </si>
  <si>
    <t>WindowID_Menu_820</t>
  </si>
  <si>
    <t>WindowID_Menu_832</t>
  </si>
  <si>
    <t>WindowID_Menu_873</t>
  </si>
  <si>
    <t>WindowID_Menu_889</t>
  </si>
  <si>
    <t>WindowID_Menu_910</t>
  </si>
  <si>
    <t>WindowID_Menu_923</t>
  </si>
  <si>
    <t>WindowID_Menu_941</t>
  </si>
  <si>
    <t>WindowID_Menu_956</t>
  </si>
  <si>
    <t>WindowID_Menu_999</t>
  </si>
  <si>
    <t>WindowID_Menu_1009</t>
  </si>
  <si>
    <t>WindowID_Menu_1029</t>
  </si>
  <si>
    <t>WindowID_Menu_1058</t>
  </si>
  <si>
    <t>WindowID_Menu_1082</t>
  </si>
  <si>
    <t>WindowID_Menu_1096</t>
  </si>
  <si>
    <t>WindowID_Menu_1108</t>
  </si>
  <si>
    <t>WindowID_Menu_1121</t>
  </si>
  <si>
    <t>WindowID_Menu_1213</t>
  </si>
  <si>
    <t>WindowID_Menu_1239</t>
  </si>
  <si>
    <t>WindowID_Menu_1270</t>
  </si>
  <si>
    <t>WindowID_Menu_1289</t>
  </si>
  <si>
    <t>WindowID_Menu_1300</t>
  </si>
  <si>
    <t>WindowID_Menu_1315</t>
  </si>
  <si>
    <t>WindowID_Menu_1343</t>
  </si>
  <si>
    <t>WindowID_Menu_1373</t>
  </si>
  <si>
    <t>WindowID_Menu_IP_REMOTE</t>
  </si>
  <si>
    <t>WindowID_Menu_FTP_CLIENT</t>
  </si>
  <si>
    <t>WindowID_Menu_STREAMING</t>
  </si>
  <si>
    <t>WindowID_Menu_NDI_HX</t>
  </si>
  <si>
    <t>WindowID_Menu_LAN_PROPERTY</t>
  </si>
  <si>
    <t>WindowID_Menu_WLAN_PROPERTY</t>
  </si>
  <si>
    <t>WindowID_Menu_CELLULAR_PROPERTY</t>
  </si>
  <si>
    <t>WindowID_Menu_INFORMATION</t>
  </si>
  <si>
    <t>WindowID_Menu_UTILITY</t>
  </si>
  <si>
    <t>WindowID_Menu_1757</t>
  </si>
  <si>
    <t>WindowID_Menu_1773</t>
  </si>
  <si>
    <t>WindowID_Menu_1780</t>
  </si>
  <si>
    <t>WindowID_Menu_1789</t>
  </si>
  <si>
    <t>WindowID_Menu_1796</t>
  </si>
  <si>
    <t>WindowID_Menu_1803</t>
  </si>
  <si>
    <t>WindowID_Menu_1495</t>
  </si>
  <si>
    <t>WindowID_Menu_1514</t>
  </si>
  <si>
    <t>WindowID_Menu_LAN_IPv4_SETTING</t>
  </si>
  <si>
    <t>WindowID_Menu_LAN_IPv6_SETTING</t>
  </si>
  <si>
    <t>WindowID_Menu_WLAN_IPv4_SETTING</t>
  </si>
  <si>
    <t>WindowID_Menu_WLAN_IPv6_SETTING</t>
  </si>
  <si>
    <t>WindowID_Menu_1761</t>
  </si>
  <si>
    <t>WindowID_Menu_1765</t>
  </si>
  <si>
    <t>WindowID_Menu_1769</t>
  </si>
  <si>
    <t>WindowID_Menu_4</t>
  </si>
  <si>
    <t>WindowID_Menu_THUMBNAIL_PROTECT</t>
  </si>
  <si>
    <t>WindowID_Menu_THUMBNAIL_DELETE</t>
  </si>
  <si>
    <t>WindowID_Menu_THUMBNAIL_COPY</t>
  </si>
  <si>
    <t>WindowID_Menu_24</t>
  </si>
  <si>
    <t>WindowID_Menu_28</t>
  </si>
  <si>
    <t>WindowID_Menu_32</t>
  </si>
  <si>
    <t>WindowID_Menu_35</t>
  </si>
  <si>
    <t>WindowID_Menu_1293</t>
  </si>
  <si>
    <t>WindowID_Menu_1297</t>
  </si>
  <si>
    <t>WindowID_Menu_1387</t>
  </si>
  <si>
    <t>WindowID_Menu_1501</t>
  </si>
  <si>
    <t>WindowID_Menu_1504</t>
  </si>
  <si>
    <t>WindowID_Menu_1507</t>
  </si>
  <si>
    <t>WindowID_Menu_1544</t>
  </si>
  <si>
    <t>WindowID_Menu_1797</t>
  </si>
  <si>
    <t>WindowID_Menu_1800</t>
  </si>
  <si>
    <t>WindowID_Menu_1806</t>
  </si>
  <si>
    <t>WindowID_Fact_INIT</t>
  </si>
  <si>
    <t>WindowID_Menu_11</t>
  </si>
  <si>
    <t>WindowID_Menu_14</t>
  </si>
  <si>
    <t>WindowID_Menu_39</t>
  </si>
  <si>
    <t>WindowID_Menu_44</t>
  </si>
  <si>
    <t>WindowID_Menu_47</t>
  </si>
  <si>
    <t>WindowID_Menu_55</t>
  </si>
  <si>
    <t>WindowID_Menu_60</t>
  </si>
  <si>
    <t>WindowID_Menu_63</t>
  </si>
  <si>
    <t>WindowID_Menu_66</t>
  </si>
  <si>
    <t>WindowID_Menu_70</t>
  </si>
  <si>
    <t>WindowID_Menu_75</t>
  </si>
  <si>
    <t>WindowID_Menu_81</t>
  </si>
  <si>
    <t>WindowID_Menu_87</t>
  </si>
  <si>
    <t>WindowID_Menu_90</t>
  </si>
  <si>
    <t>WindowID_Menu_93</t>
  </si>
  <si>
    <t>WindowID_Menu_96</t>
  </si>
  <si>
    <t>WindowID_Menu_99</t>
  </si>
  <si>
    <t>WindowID_Menu_103</t>
  </si>
  <si>
    <t>WindowID_Menu_106</t>
  </si>
  <si>
    <t>WindowID_Menu_110</t>
  </si>
  <si>
    <t>WindowID_Menu_114</t>
  </si>
  <si>
    <t>WindowID_Menu_121</t>
  </si>
  <si>
    <t>WindowID_Menu_124</t>
  </si>
  <si>
    <t>WindowID_Menu_128</t>
  </si>
  <si>
    <t>WindowID_Menu_131</t>
  </si>
  <si>
    <t>WindowID_Menu_134</t>
  </si>
  <si>
    <t>WindowID_Menu_139</t>
  </si>
  <si>
    <t>WindowID_Menu_142</t>
  </si>
  <si>
    <t>WindowID_Menu_145</t>
  </si>
  <si>
    <t>WindowID_Menu_149</t>
  </si>
  <si>
    <t>WindowID_Menu_152</t>
  </si>
  <si>
    <t>WindowID_Menu_155</t>
  </si>
  <si>
    <t>WindowID_Menu_159</t>
  </si>
  <si>
    <t>WindowID_Menu_208</t>
  </si>
  <si>
    <t>WindowID_Menu_257</t>
  </si>
  <si>
    <t>WindowID_Menu_306</t>
  </si>
  <si>
    <t>WindowID_Menu_355</t>
  </si>
  <si>
    <t>WindowID_Menu_404</t>
  </si>
  <si>
    <t>WindowID_Menu_453</t>
  </si>
  <si>
    <t>WindowID_Menu_502</t>
  </si>
  <si>
    <t>WindowID_Menu_551</t>
  </si>
  <si>
    <t>WindowID_Menu_600</t>
  </si>
  <si>
    <t>WindowID_Menu_649</t>
  </si>
  <si>
    <t>WindowID_Menu_698</t>
  </si>
  <si>
    <t>WindowID_Menu_748</t>
  </si>
  <si>
    <t>WindowID_Menu_760</t>
  </si>
  <si>
    <t>WindowID_Menu_764</t>
  </si>
  <si>
    <t>WindowID_Menu_771</t>
  </si>
  <si>
    <t>WindowID_Menu_SKIN_DTL1</t>
  </si>
  <si>
    <t>WindowID_Menu_SKIN_DTL2</t>
  </si>
  <si>
    <t>WindowID_Menu_SKIN_DTL3</t>
  </si>
  <si>
    <t>WindowID_Menu_789</t>
  </si>
  <si>
    <t>WindowID_Menu_793</t>
  </si>
  <si>
    <t>WindowID_Menu_809</t>
  </si>
  <si>
    <t>WindowID_Menu_812</t>
  </si>
  <si>
    <t>WindowID_Menu_827</t>
  </si>
  <si>
    <t>WindowID_Menu_877</t>
  </si>
  <si>
    <t>WindowID_Menu_880</t>
  </si>
  <si>
    <t>WindowID_Menu_891</t>
  </si>
  <si>
    <t>WindowID_Menu_898</t>
  </si>
  <si>
    <t>WindowID_Menu_911</t>
  </si>
  <si>
    <t>WindowID_Menu_918</t>
  </si>
  <si>
    <t>WindowID_Menu_924</t>
  </si>
  <si>
    <t>WindowID_Menu_928</t>
  </si>
  <si>
    <t>WindowID_Menu_936</t>
  </si>
  <si>
    <t>WindowID_Menu_942</t>
  </si>
  <si>
    <t>WindowID_Menu_946</t>
  </si>
  <si>
    <t>WindowID_Menu_950</t>
  </si>
  <si>
    <t>WindowID_Menu_953</t>
  </si>
  <si>
    <t>WindowID_Menu_957</t>
  </si>
  <si>
    <t>WindowID_Menu_960</t>
  </si>
  <si>
    <t>WindowID_Menu_963</t>
  </si>
  <si>
    <t>WindowID_Menu_966</t>
  </si>
  <si>
    <t>WindowID_Menu_971</t>
  </si>
  <si>
    <t>WindowID_Menu_974</t>
  </si>
  <si>
    <t>WindowID_Menu_977</t>
  </si>
  <si>
    <t>WindowID_Menu_980</t>
  </si>
  <si>
    <t>WindowID_Menu_983</t>
  </si>
  <si>
    <t>WindowID_Menu_986</t>
  </si>
  <si>
    <t>WindowID_Menu_989</t>
  </si>
  <si>
    <t>WindowID_Menu_992</t>
  </si>
  <si>
    <t>WindowID_Menu_995</t>
  </si>
  <si>
    <t>WindowID_Menu_1000</t>
  </si>
  <si>
    <t>WindowID_Menu_1010</t>
  </si>
  <si>
    <t>WindowID_Menu_1015</t>
  </si>
  <si>
    <t>WindowID_Menu_1020</t>
  </si>
  <si>
    <t>WindowID_Menu_1026</t>
  </si>
  <si>
    <t>WindowID_Menu_1030</t>
  </si>
  <si>
    <t>WindowID_Menu_1033</t>
  </si>
  <si>
    <t>WindowID_Menu_1040</t>
  </si>
  <si>
    <t>WindowID_Menu_1043</t>
  </si>
  <si>
    <t>WindowID_Menu_1046</t>
  </si>
  <si>
    <t>WindowID_Menu_1049</t>
  </si>
  <si>
    <t>WindowID_Menu_1052</t>
  </si>
  <si>
    <t>WindowID_Menu_1055</t>
  </si>
  <si>
    <t>WindowID_Menu_1059</t>
  </si>
  <si>
    <t>WindowID_Menu_1067</t>
  </si>
  <si>
    <t>WindowID_Menu_1070</t>
  </si>
  <si>
    <t>WindowID_Menu_1073</t>
  </si>
  <si>
    <t>WindowID_Menu_1076</t>
  </si>
  <si>
    <t>WindowID_Menu_1079</t>
  </si>
  <si>
    <t>WindowID_Menu_1083</t>
  </si>
  <si>
    <t>WindowID_Menu_1086</t>
  </si>
  <si>
    <t>WindowID_Menu_1089</t>
  </si>
  <si>
    <t>WindowID_Menu_1092</t>
  </si>
  <si>
    <t>WindowID_Menu_1105</t>
  </si>
  <si>
    <t>WindowID_Menu_1112</t>
  </si>
  <si>
    <t>WindowID_Menu_1115</t>
  </si>
  <si>
    <t>WindowID_Menu_1118</t>
  </si>
  <si>
    <t>WindowID_Menu_1122</t>
  </si>
  <si>
    <t>WindowID_Menu_1125</t>
  </si>
  <si>
    <t>WindowID_Menu_1128</t>
  </si>
  <si>
    <t>WindowID_Menu_1131</t>
  </si>
  <si>
    <t>WindowID_Menu_1134</t>
  </si>
  <si>
    <t>WindowID_Menu_1137</t>
  </si>
  <si>
    <t>WindowID_Menu_1140</t>
  </si>
  <si>
    <t>WindowID_Menu_1143</t>
  </si>
  <si>
    <t>WindowID_Menu_1146</t>
  </si>
  <si>
    <t>WindowID_Menu_1149</t>
  </si>
  <si>
    <t>WindowID_Menu_1152</t>
  </si>
  <si>
    <t>WindowID_Menu_1155</t>
  </si>
  <si>
    <t>WindowID_Menu_1158</t>
  </si>
  <si>
    <t>WindowID_Menu_1161</t>
  </si>
  <si>
    <t>WindowID_Menu_1164</t>
  </si>
  <si>
    <t>WindowID_Menu_1167</t>
  </si>
  <si>
    <t>WindowID_Menu_1170</t>
  </si>
  <si>
    <t>WindowID_Menu_1173</t>
  </si>
  <si>
    <t>WindowID_Menu_1176</t>
  </si>
  <si>
    <t>WindowID_Menu_1179</t>
  </si>
  <si>
    <t>WindowID_Menu_1182</t>
  </si>
  <si>
    <t>WindowID_Menu_1185</t>
  </si>
  <si>
    <t>WindowID_Menu_1190</t>
  </si>
  <si>
    <t>WindowID_Menu_1193</t>
  </si>
  <si>
    <t>WindowID_Menu_1198</t>
  </si>
  <si>
    <t>WindowID_Menu_1201</t>
  </si>
  <si>
    <t>WindowID_Menu_1204</t>
  </si>
  <si>
    <t>WindowID_Menu_1207</t>
  </si>
  <si>
    <t>WindowID_Menu_1210</t>
  </si>
  <si>
    <t>WindowID_Menu_1240</t>
  </si>
  <si>
    <t>WindowID_Menu_1243</t>
  </si>
  <si>
    <t>WindowID_Menu_1247</t>
  </si>
  <si>
    <t>WindowID_Menu_1251</t>
  </si>
  <si>
    <t>WindowID_Menu_1255</t>
  </si>
  <si>
    <t>WindowID_Menu_1259</t>
  </si>
  <si>
    <t>WindowID_Menu_ZEBRA</t>
  </si>
  <si>
    <t>WindowID_Menu_1281</t>
  </si>
  <si>
    <t>WindowID_Menu_1290</t>
  </si>
  <si>
    <t>WindowID_Menu_1303</t>
  </si>
  <si>
    <t>WindowID_Menu_1307</t>
  </si>
  <si>
    <t>WindowID_Menu_1312</t>
  </si>
  <si>
    <t>WindowID_Menu_1316</t>
  </si>
  <si>
    <t>WindowID_Menu_1321</t>
  </si>
  <si>
    <t>WindowID_Menu_1324</t>
  </si>
  <si>
    <t>WindowID_Menu_1333</t>
  </si>
  <si>
    <t>WindowID_Menu_1340</t>
  </si>
  <si>
    <t>WindowID_Menu_1346</t>
  </si>
  <si>
    <t>WindowID_Menu_1349</t>
  </si>
  <si>
    <t>WindowID_Menu_1352</t>
  </si>
  <si>
    <t>WindowID_Menu_1359</t>
  </si>
  <si>
    <t>WindowID_Menu_1362</t>
  </si>
  <si>
    <t>WindowID_Menu_1365</t>
  </si>
  <si>
    <t>WindowID_Menu_1368</t>
  </si>
  <si>
    <t>WindowID_Menu_1375</t>
  </si>
  <si>
    <t>WindowID_Menu_1378</t>
  </si>
  <si>
    <t>WindowID_Menu_1381</t>
  </si>
  <si>
    <t>WindowID_Menu_1384</t>
  </si>
  <si>
    <t>WindowID_Menu_1392</t>
  </si>
  <si>
    <t>WindowID_Menu_1397</t>
  </si>
  <si>
    <t>WindowID_Menu_1403</t>
  </si>
  <si>
    <t>WindowID_Menu_1437</t>
  </si>
  <si>
    <t>WindowID_Menu_1489</t>
  </si>
  <si>
    <t>WindowID_Menu_1492</t>
  </si>
  <si>
    <t>WindowID_Menu_1510</t>
  </si>
  <si>
    <t>WindowID_Menu_1517</t>
  </si>
  <si>
    <t>WindowID_Menu_1550</t>
  </si>
  <si>
    <t>WindowID_Menu_1560</t>
  </si>
  <si>
    <t>WindowID_Menu_1563</t>
  </si>
  <si>
    <t>WindowID_Menu_1574</t>
  </si>
  <si>
    <t>WindowID_Menu_1579</t>
  </si>
  <si>
    <t>WindowID_Menu_1582</t>
  </si>
  <si>
    <t>WindowID_Menu_NETWORK_CH_5</t>
  </si>
  <si>
    <t>WindowID_Menu_1606</t>
  </si>
  <si>
    <t>WindowID_Menu_1614</t>
  </si>
  <si>
    <t>WindowID_Menu_1624</t>
  </si>
  <si>
    <t>WindowID_Menu_1627</t>
  </si>
  <si>
    <t>WindowID_Menu_1648</t>
  </si>
  <si>
    <t>WindowID_Menu_1654</t>
  </si>
  <si>
    <t>WindowID_Menu_1657</t>
  </si>
  <si>
    <t>WindowID_Menu_1661</t>
  </si>
  <si>
    <t>WindowID_Menu_1665</t>
  </si>
  <si>
    <t>WindowID_Menu_1679</t>
  </si>
  <si>
    <t>WindowID_Menu_1693</t>
  </si>
  <si>
    <t>WindowID_Menu_1712</t>
  </si>
  <si>
    <t>WindowID_Menu_1725</t>
  </si>
  <si>
    <t>WindowID_Menu_1732</t>
  </si>
  <si>
    <t>WindowID_Menu_1738</t>
  </si>
  <si>
    <t>WindowID_Menu_1742</t>
  </si>
  <si>
    <t>WindowID_Menu_1747</t>
  </si>
  <si>
    <t>WindowID_Menu_1750</t>
  </si>
  <si>
    <t>WindowID_Menu_1753</t>
  </si>
  <si>
    <t>WindowID_Menu_1758</t>
  </si>
  <si>
    <t>WindowID_Menu_1774</t>
  </si>
  <si>
    <t>WindowID_Menu_1777</t>
  </si>
  <si>
    <t>WindowID_Menu_1781</t>
  </si>
  <si>
    <t>WindowID_Menu_1786</t>
  </si>
  <si>
    <t>WindowID_Menu_1792</t>
  </si>
  <si>
    <t>WindowID_Menu_1809</t>
  </si>
  <si>
    <t>WindowID_Fact_LIFE</t>
  </si>
  <si>
    <t>WindowID_Fact_GRADE</t>
  </si>
  <si>
    <t>最適化</t>
    <rPh sb="0" eb="3">
      <t>サイテキカ</t>
    </rPh>
    <phoneticPr fontId="1"/>
  </si>
  <si>
    <t>・Allに定義されている箇所と別の箇所に</t>
    <rPh sb="5" eb="7">
      <t>テイギ</t>
    </rPh>
    <rPh sb="12" eb="14">
      <t>カショ</t>
    </rPh>
    <rPh sb="15" eb="16">
      <t>ベツ</t>
    </rPh>
    <rPh sb="17" eb="19">
      <t>カショ</t>
    </rPh>
    <phoneticPr fontId="1"/>
  </si>
  <si>
    <t>WindowCategory_MenuAreaSetting</t>
  </si>
  <si>
    <t>WindowCategory_MenuAreaSetting</t>
    <phoneticPr fontId="1"/>
  </si>
  <si>
    <t>WindowCategory_TransitionB</t>
    <phoneticPr fontId="1"/>
  </si>
  <si>
    <t>WindowMainCategory_Fact</t>
    <phoneticPr fontId="1"/>
  </si>
  <si>
    <t>WindowCateogry_MenuMessage</t>
  </si>
  <si>
    <t>MenuMessage</t>
  </si>
  <si>
    <t>-</t>
    <phoneticPr fontId="1"/>
  </si>
  <si>
    <t>MenuAreaSett</t>
    <phoneticPr fontId="1"/>
  </si>
  <si>
    <t>Keyboard</t>
    <phoneticPr fontId="1"/>
  </si>
  <si>
    <t>MenuListTop</t>
    <phoneticPr fontId="1"/>
  </si>
  <si>
    <t>Dialog</t>
    <phoneticPr fontId="1"/>
  </si>
  <si>
    <t>MenuList1st</t>
    <phoneticPr fontId="1"/>
  </si>
  <si>
    <t>Toggle</t>
    <phoneticPr fontId="1"/>
  </si>
  <si>
    <t>MenuList2nd</t>
    <phoneticPr fontId="1"/>
  </si>
  <si>
    <t>SpinBox</t>
    <phoneticPr fontId="1"/>
  </si>
  <si>
    <t>MenuList3rd</t>
    <phoneticPr fontId="1"/>
  </si>
  <si>
    <t>MenuFile</t>
    <phoneticPr fontId="1"/>
  </si>
  <si>
    <t>MenuList4th</t>
    <phoneticPr fontId="1"/>
  </si>
  <si>
    <t>MenuList5rh</t>
    <phoneticPr fontId="1"/>
  </si>
  <si>
    <t>NetWork</t>
    <phoneticPr fontId="1"/>
  </si>
  <si>
    <t>MenuListPop</t>
    <phoneticPr fontId="1"/>
  </si>
  <si>
    <t>2List</t>
    <phoneticPr fontId="1"/>
  </si>
  <si>
    <t>MenuListCheck</t>
    <phoneticPr fontId="1"/>
  </si>
  <si>
    <t>OldMenu</t>
    <phoneticPr fontId="1"/>
  </si>
  <si>
    <t>MenuOther</t>
    <phoneticPr fontId="1"/>
  </si>
  <si>
    <t>MenuList</t>
    <phoneticPr fontId="1"/>
  </si>
  <si>
    <t>MenuMessage</t>
    <phoneticPr fontId="1"/>
  </si>
  <si>
    <t>Message定義データ用</t>
    <rPh sb="7" eb="9">
      <t>テイギ</t>
    </rPh>
    <rPh sb="12" eb="13">
      <t>ヨウ</t>
    </rPh>
    <phoneticPr fontId="1"/>
  </si>
  <si>
    <t>AllCommon</t>
    <phoneticPr fontId="1"/>
  </si>
  <si>
    <t>WindowCategory_USB</t>
    <phoneticPr fontId="1"/>
  </si>
  <si>
    <t>SystemError</t>
  </si>
  <si>
    <t>Warning</t>
  </si>
  <si>
    <t>Alert</t>
  </si>
  <si>
    <t>Repair</t>
  </si>
  <si>
    <t>Telop</t>
  </si>
  <si>
    <t>/* Rec Message */</t>
    <phoneticPr fontId="1"/>
  </si>
  <si>
    <t>/* Play Message */</t>
    <phoneticPr fontId="1"/>
  </si>
  <si>
    <t>/* Other Message */</t>
    <phoneticPr fontId="1"/>
  </si>
  <si>
    <t>/* Message */</t>
  </si>
  <si>
    <t>/* Message */</t>
    <phoneticPr fontId="1"/>
  </si>
  <si>
    <t>WindowCateogry_MenuMessage</t>
    <phoneticPr fontId="1"/>
  </si>
  <si>
    <t>WindowCategory_OtherTelop</t>
    <phoneticPr fontId="1"/>
  </si>
  <si>
    <t>WindowCategory_OtherDialog</t>
    <phoneticPr fontId="1"/>
  </si>
  <si>
    <t>Dummy</t>
  </si>
  <si>
    <t>Dummy</t>
    <phoneticPr fontId="1"/>
  </si>
  <si>
    <t>All</t>
    <phoneticPr fontId="1"/>
  </si>
  <si>
    <t>None</t>
    <phoneticPr fontId="1"/>
  </si>
  <si>
    <t>Rec</t>
    <phoneticPr fontId="1"/>
  </si>
  <si>
    <t>Play</t>
    <phoneticPr fontId="1"/>
  </si>
  <si>
    <t>Message</t>
    <phoneticPr fontId="1"/>
  </si>
  <si>
    <t>Home</t>
    <phoneticPr fontId="1"/>
  </si>
  <si>
    <t>Menu</t>
    <phoneticPr fontId="1"/>
  </si>
  <si>
    <t>Fact</t>
    <phoneticPr fontId="1"/>
  </si>
  <si>
    <t>Other</t>
    <phoneticPr fontId="1"/>
  </si>
  <si>
    <t>Work</t>
    <phoneticPr fontId="1"/>
  </si>
  <si>
    <t>../Window/MESSAGE/MessageWindowId.def</t>
  </si>
  <si>
    <t>-</t>
    <phoneticPr fontId="1"/>
  </si>
  <si>
    <t>-</t>
    <phoneticPr fontId="1"/>
  </si>
  <si>
    <t>-</t>
    <phoneticPr fontId="1"/>
  </si>
  <si>
    <t>-</t>
    <phoneticPr fontId="1"/>
  </si>
  <si>
    <t>-</t>
    <phoneticPr fontId="1"/>
  </si>
  <si>
    <t>SystemError</t>
    <phoneticPr fontId="1"/>
  </si>
  <si>
    <t>Telop</t>
    <phoneticPr fontId="1"/>
  </si>
  <si>
    <t>SystemError</t>
    <phoneticPr fontId="1"/>
  </si>
  <si>
    <t>Telop</t>
    <phoneticPr fontId="1"/>
  </si>
  <si>
    <t>Telop</t>
    <phoneticPr fontId="1"/>
  </si>
  <si>
    <t>Warning</t>
    <phoneticPr fontId="1"/>
  </si>
  <si>
    <t>Dialog</t>
    <phoneticPr fontId="1"/>
  </si>
  <si>
    <t>Warning</t>
    <phoneticPr fontId="1"/>
  </si>
  <si>
    <t>Warning</t>
    <phoneticPr fontId="1"/>
  </si>
  <si>
    <t>Alert</t>
    <phoneticPr fontId="1"/>
  </si>
  <si>
    <t>Alert</t>
    <phoneticPr fontId="1"/>
  </si>
  <si>
    <t>Repair</t>
    <phoneticPr fontId="1"/>
  </si>
  <si>
    <t>Repair</t>
    <phoneticPr fontId="1"/>
  </si>
  <si>
    <t>Repair</t>
    <phoneticPr fontId="1"/>
  </si>
  <si>
    <t>Other</t>
    <phoneticPr fontId="1"/>
  </si>
  <si>
    <t>WindowCategory_TestMessage</t>
    <phoneticPr fontId="1"/>
  </si>
  <si>
    <t>MenuCommon</t>
    <phoneticPr fontId="1"/>
  </si>
  <si>
    <t>Keyboard</t>
    <phoneticPr fontId="1"/>
  </si>
  <si>
    <t>MenuListTop</t>
    <phoneticPr fontId="1"/>
  </si>
  <si>
    <t>Dialog</t>
    <phoneticPr fontId="1"/>
  </si>
  <si>
    <t>MenuList1st</t>
    <phoneticPr fontId="1"/>
  </si>
  <si>
    <t>Toggle</t>
    <phoneticPr fontId="1"/>
  </si>
  <si>
    <t>MenuList2nd</t>
  </si>
  <si>
    <t>SpinBox</t>
    <phoneticPr fontId="1"/>
  </si>
  <si>
    <t>MenuList3rd</t>
  </si>
  <si>
    <t>MenuFile</t>
    <phoneticPr fontId="1"/>
  </si>
  <si>
    <t>MenuList4th</t>
  </si>
  <si>
    <t>MenuList5rh</t>
  </si>
  <si>
    <t>MenuListPop</t>
  </si>
  <si>
    <t>MenuListCheck</t>
  </si>
  <si>
    <t>Window_ThumbNail_ReConnect</t>
  </si>
  <si>
    <t>Window_ThumbNail_ReConnect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</si>
</sst>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1"/>
      <color theme="3"/>
      <name val="ＭＳ ゴシック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sz val="11"/>
      <name val="ＭＳ ゴシック"/>
      <family val="3"/>
      <charset val="128"/>
    </font>
    <font>
      <sz val="11"/>
      <name val="ＭＳ ゴシック"/>
      <family val="2"/>
      <charset val="128"/>
    </font>
    <font>
      <b/>
      <sz val="11"/>
      <color rgb="FFFF0000"/>
      <name val="ＭＳ ゴシック"/>
      <family val="3"/>
      <charset val="128"/>
    </font>
    <font>
      <sz val="11"/>
      <color rgb="FF00000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0" borderId="0" xfId="1" applyNumberFormat="1">
      <alignment vertical="center"/>
    </xf>
    <xf numFmtId="49" fontId="0" fillId="0" borderId="0" xfId="0" applyNumberFormat="1" applyFont="1" applyAlignment="1">
      <alignment horizontal="left" vertical="center"/>
    </xf>
    <xf numFmtId="0" fontId="3" fillId="0" borderId="0" xfId="2">
      <alignment vertical="center"/>
    </xf>
    <xf numFmtId="0" fontId="2" fillId="0" borderId="0" xfId="1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9" xfId="0" applyFont="1" applyFill="1" applyBorder="1" applyAlignment="1">
      <alignment horizontal="left" vertical="center"/>
    </xf>
    <xf numFmtId="0" fontId="4" fillId="0" borderId="9" xfId="0" applyFont="1" applyFill="1" applyBorder="1">
      <alignment vertical="center"/>
    </xf>
    <xf numFmtId="0" fontId="4" fillId="0" borderId="9" xfId="0" applyFont="1" applyFill="1" applyBorder="1" applyAlignment="1">
      <alignment horizontal="left" vertical="center"/>
    </xf>
    <xf numFmtId="0" fontId="4" fillId="0" borderId="3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3" fillId="0" borderId="0" xfId="2" applyProtection="1">
      <alignment vertical="center"/>
    </xf>
    <xf numFmtId="0" fontId="0" fillId="0" borderId="0" xfId="0" applyProtection="1">
      <alignment vertical="center"/>
    </xf>
    <xf numFmtId="0" fontId="0" fillId="0" borderId="13" xfId="0" applyFill="1" applyBorder="1" applyProtection="1">
      <alignment vertical="center"/>
    </xf>
    <xf numFmtId="0" fontId="0" fillId="0" borderId="14" xfId="0" applyFill="1" applyBorder="1" applyProtection="1">
      <alignment vertical="center"/>
    </xf>
    <xf numFmtId="0" fontId="0" fillId="0" borderId="0" xfId="0" applyAlignment="1" applyProtection="1">
      <alignment vertical="center"/>
    </xf>
    <xf numFmtId="0" fontId="0" fillId="2" borderId="6" xfId="0" applyFill="1" applyBorder="1" applyProtection="1">
      <alignment vertical="center"/>
    </xf>
    <xf numFmtId="0" fontId="0" fillId="2" borderId="10" xfId="0" applyFill="1" applyBorder="1" applyProtection="1">
      <alignment vertical="center"/>
    </xf>
    <xf numFmtId="0" fontId="0" fillId="2" borderId="7" xfId="0" applyFill="1" applyBorder="1" applyProtection="1">
      <alignment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Protection="1">
      <alignment vertical="center"/>
    </xf>
    <xf numFmtId="0" fontId="3" fillId="4" borderId="0" xfId="2" applyFill="1" applyProtection="1">
      <alignment vertical="center"/>
    </xf>
    <xf numFmtId="0" fontId="0" fillId="0" borderId="13" xfId="0" applyFill="1" applyBorder="1" applyAlignment="1" applyProtection="1">
      <alignment horizontal="center" vertical="center"/>
    </xf>
    <xf numFmtId="0" fontId="0" fillId="0" borderId="14" xfId="0" applyFill="1" applyBorder="1" applyAlignment="1" applyProtection="1">
      <alignment horizontal="center" vertical="center"/>
    </xf>
    <xf numFmtId="0" fontId="0" fillId="0" borderId="15" xfId="0" applyFill="1" applyBorder="1" applyProtection="1">
      <alignment vertical="center"/>
    </xf>
    <xf numFmtId="0" fontId="0" fillId="0" borderId="15" xfId="0" applyFill="1" applyBorder="1" applyAlignment="1" applyProtection="1">
      <alignment horizontal="center" vertical="center"/>
    </xf>
    <xf numFmtId="0" fontId="0" fillId="3" borderId="13" xfId="0" applyFill="1" applyBorder="1" applyProtection="1">
      <alignment vertical="center"/>
    </xf>
    <xf numFmtId="0" fontId="0" fillId="3" borderId="14" xfId="0" applyFill="1" applyBorder="1" applyProtection="1">
      <alignment vertical="center"/>
    </xf>
    <xf numFmtId="0" fontId="0" fillId="3" borderId="15" xfId="0" applyFill="1" applyBorder="1" applyProtection="1">
      <alignment vertical="center"/>
    </xf>
    <xf numFmtId="0" fontId="0" fillId="2" borderId="7" xfId="0" applyFill="1" applyBorder="1" applyAlignment="1" applyProtection="1">
      <alignment horizontal="right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2" borderId="6" xfId="0" applyFill="1" applyBorder="1" applyAlignment="1" applyProtection="1">
      <alignment horizontal="center" vertical="center" wrapText="1"/>
    </xf>
    <xf numFmtId="0" fontId="0" fillId="2" borderId="7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0" fontId="0" fillId="2" borderId="8" xfId="0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</cellXfs>
  <cellStyles count="3">
    <cellStyle name="タイトル" xfId="2" builtinId="15"/>
    <cellStyle name="見出し 4" xfId="1" builtinId="19"/>
    <cellStyle name="標準" xfId="0" builtinId="0"/>
  </cellStyles>
  <dxfs count="6"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colors>
    <mruColors>
      <color rgb="FFFFFF99"/>
      <color rgb="FFCCFFFF"/>
      <color rgb="FF66FFFF"/>
      <color rgb="FFC0504D"/>
      <color rgb="FF8C3836"/>
      <color rgb="FFFFF3F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66675</xdr:rowOff>
        </xdr:from>
        <xdr:to>
          <xdr:col>6</xdr:col>
          <xdr:colOff>504825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24</xdr:row>
          <xdr:rowOff>171450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0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最適化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66FFFF"/>
  </sheetPr>
  <dimension ref="B2:AM48"/>
  <sheetViews>
    <sheetView showGridLines="0" workbookViewId="0">
      <selection activeCell="S53" sqref="S53"/>
    </sheetView>
  </sheetViews>
  <sheetFormatPr defaultColWidth="4.125" defaultRowHeight="13.5"/>
  <sheetData>
    <row r="2" spans="2:15" ht="21">
      <c r="B2" s="4" t="s">
        <v>63</v>
      </c>
    </row>
    <row r="4" spans="2:15" s="1" customFormat="1">
      <c r="C4" s="2" t="s">
        <v>62</v>
      </c>
    </row>
    <row r="5" spans="2:15" s="1" customFormat="1"/>
    <row r="6" spans="2:15" s="1" customFormat="1">
      <c r="D6" s="1" t="s">
        <v>246</v>
      </c>
    </row>
    <row r="7" spans="2:15" s="1" customFormat="1">
      <c r="D7" s="1" t="s">
        <v>247</v>
      </c>
    </row>
    <row r="8" spans="2:15" s="1" customFormat="1">
      <c r="C8" s="2"/>
    </row>
    <row r="9" spans="2:15" s="1" customFormat="1">
      <c r="D9" s="1" t="s">
        <v>65</v>
      </c>
    </row>
    <row r="10" spans="2:15" s="1" customFormat="1"/>
    <row r="11" spans="2:15" s="1" customFormat="1">
      <c r="C11" s="2" t="s">
        <v>87</v>
      </c>
    </row>
    <row r="12" spans="2:15" s="1" customFormat="1">
      <c r="C12" s="2"/>
    </row>
    <row r="13" spans="2:15" s="1" customFormat="1">
      <c r="D13" s="3" t="s">
        <v>248</v>
      </c>
      <c r="K13" s="1" t="s">
        <v>249</v>
      </c>
    </row>
    <row r="14" spans="2:15" s="1" customFormat="1">
      <c r="D14" s="3" t="s">
        <v>115</v>
      </c>
      <c r="K14" s="1" t="s">
        <v>113</v>
      </c>
      <c r="O14" s="1" t="s">
        <v>114</v>
      </c>
    </row>
    <row r="15" spans="2:15" s="1" customFormat="1">
      <c r="D15" s="3" t="s">
        <v>112</v>
      </c>
      <c r="K15" s="1" t="s">
        <v>250</v>
      </c>
    </row>
    <row r="16" spans="2:15" s="1" customFormat="1">
      <c r="D16" s="3"/>
    </row>
    <row r="17" spans="3:39">
      <c r="C17" s="5" t="s">
        <v>226</v>
      </c>
      <c r="AJ17" s="1"/>
      <c r="AK17" s="1"/>
      <c r="AL17" s="1"/>
      <c r="AM17" s="1"/>
    </row>
    <row r="18" spans="3:39" s="8" customFormat="1">
      <c r="AJ18" s="1"/>
      <c r="AK18" s="1"/>
      <c r="AL18" s="1"/>
      <c r="AM18" s="1"/>
    </row>
    <row r="19" spans="3:39">
      <c r="D19" t="s">
        <v>227</v>
      </c>
      <c r="G19" t="s">
        <v>233</v>
      </c>
      <c r="AJ19" s="1"/>
      <c r="AK19" s="1"/>
      <c r="AL19" s="1"/>
      <c r="AM19" s="1"/>
    </row>
    <row r="20" spans="3:39" s="8" customFormat="1">
      <c r="D20" s="8" t="s">
        <v>230</v>
      </c>
      <c r="G20" s="8" t="s">
        <v>232</v>
      </c>
      <c r="AJ20" s="1"/>
      <c r="AK20" s="1"/>
      <c r="AL20" s="1"/>
      <c r="AM20" s="1"/>
    </row>
    <row r="21" spans="3:39" s="8" customFormat="1">
      <c r="D21" s="8" t="s">
        <v>231</v>
      </c>
      <c r="G21" s="8" t="s">
        <v>234</v>
      </c>
      <c r="AJ21" s="1"/>
      <c r="AK21" s="1"/>
      <c r="AL21" s="1"/>
      <c r="AM21" s="1"/>
    </row>
    <row r="22" spans="3:39" s="8" customFormat="1">
      <c r="D22" s="8" t="s">
        <v>235</v>
      </c>
      <c r="G22" s="8" t="s">
        <v>255</v>
      </c>
      <c r="AJ22" s="1"/>
      <c r="AK22" s="1"/>
      <c r="AL22" s="1"/>
      <c r="AM22" s="1"/>
    </row>
    <row r="23" spans="3:39" s="8" customFormat="1">
      <c r="D23" s="8" t="s">
        <v>228</v>
      </c>
      <c r="G23" s="8" t="s">
        <v>229</v>
      </c>
      <c r="AJ23" s="1"/>
      <c r="AK23" s="1"/>
      <c r="AL23" s="1"/>
      <c r="AM23" s="1"/>
    </row>
    <row r="24" spans="3:39">
      <c r="AJ24" s="1"/>
      <c r="AK24" s="1"/>
      <c r="AL24" s="1"/>
      <c r="AM24" s="1"/>
    </row>
    <row r="25" spans="3:39" s="8" customFormat="1">
      <c r="D25" s="8" t="s">
        <v>258</v>
      </c>
      <c r="AJ25" s="1"/>
      <c r="AK25" s="1"/>
      <c r="AL25" s="1"/>
      <c r="AM25" s="1"/>
    </row>
    <row r="26" spans="3:39" s="8" customFormat="1">
      <c r="E26" s="8" t="s">
        <v>256</v>
      </c>
      <c r="AL26" s="1"/>
    </row>
    <row r="27" spans="3:39" s="8" customFormat="1">
      <c r="D27" s="8" t="s">
        <v>257</v>
      </c>
    </row>
    <row r="29" spans="3:39">
      <c r="C29" s="5" t="s">
        <v>236</v>
      </c>
    </row>
    <row r="30" spans="3:39" s="8" customFormat="1">
      <c r="C30" s="5"/>
    </row>
    <row r="31" spans="3:39">
      <c r="D31" t="s">
        <v>237</v>
      </c>
    </row>
    <row r="32" spans="3:39">
      <c r="D32" t="s">
        <v>238</v>
      </c>
    </row>
    <row r="33" spans="3:9" s="8" customFormat="1">
      <c r="E33" s="8" t="s">
        <v>106</v>
      </c>
      <c r="H33" s="8" t="s">
        <v>243</v>
      </c>
    </row>
    <row r="34" spans="3:9">
      <c r="E34" t="s">
        <v>244</v>
      </c>
      <c r="H34" t="s">
        <v>245</v>
      </c>
    </row>
    <row r="35" spans="3:9" s="8" customFormat="1">
      <c r="I35" s="8" t="s">
        <v>268</v>
      </c>
    </row>
    <row r="36" spans="3:9">
      <c r="I36" t="s">
        <v>239</v>
      </c>
    </row>
    <row r="37" spans="3:9">
      <c r="I37" t="s">
        <v>240</v>
      </c>
    </row>
    <row r="38" spans="3:9">
      <c r="I38" t="s">
        <v>241</v>
      </c>
    </row>
    <row r="39" spans="3:9">
      <c r="E39" t="s">
        <v>213</v>
      </c>
      <c r="H39" t="s">
        <v>251</v>
      </c>
    </row>
    <row r="40" spans="3:9">
      <c r="E40" t="s">
        <v>107</v>
      </c>
      <c r="H40" t="s">
        <v>242</v>
      </c>
    </row>
    <row r="41" spans="3:9">
      <c r="H41" t="s">
        <v>252</v>
      </c>
    </row>
    <row r="42" spans="3:9">
      <c r="D42" t="s">
        <v>253</v>
      </c>
    </row>
    <row r="43" spans="3:9">
      <c r="E43" t="s">
        <v>254</v>
      </c>
    </row>
    <row r="46" spans="3:9">
      <c r="C46" s="5" t="s">
        <v>278</v>
      </c>
    </row>
    <row r="48" spans="3:9">
      <c r="D48" t="s">
        <v>279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66FFFF"/>
  </sheetPr>
  <dimension ref="B3:L234"/>
  <sheetViews>
    <sheetView showGridLines="0" tabSelected="1" workbookViewId="0">
      <pane ySplit="4" topLeftCell="A20" activePane="bottomLeft" state="frozen"/>
      <selection activeCell="Z26" sqref="Z26"/>
      <selection pane="bottomLeft" activeCell="G40" sqref="G40"/>
    </sheetView>
  </sheetViews>
  <sheetFormatPr defaultRowHeight="13.5"/>
  <cols>
    <col min="1" max="1" width="4.125" style="8" customWidth="1"/>
    <col min="2" max="5" width="2.5" style="7" bestFit="1" customWidth="1"/>
    <col min="6" max="6" width="11.625" style="7" bestFit="1" customWidth="1"/>
    <col min="7" max="7" width="45" style="8" bestFit="1" customWidth="1"/>
    <col min="8" max="11" width="13.875" style="9" customWidth="1"/>
    <col min="12" max="12" width="48.125" style="9" customWidth="1"/>
    <col min="13" max="16384" width="9" style="8"/>
  </cols>
  <sheetData>
    <row r="3" spans="2:12">
      <c r="B3" s="43" t="s">
        <v>200</v>
      </c>
      <c r="C3" s="43"/>
      <c r="D3" s="43"/>
      <c r="E3" s="43"/>
      <c r="F3" s="43" t="s">
        <v>214</v>
      </c>
      <c r="G3" s="44" t="s">
        <v>213</v>
      </c>
      <c r="H3" s="45" t="s">
        <v>212</v>
      </c>
      <c r="I3" s="46"/>
      <c r="J3" s="46"/>
      <c r="K3" s="44"/>
      <c r="L3" s="41" t="s">
        <v>201</v>
      </c>
    </row>
    <row r="4" spans="2:12" s="7" customFormat="1">
      <c r="B4" s="43"/>
      <c r="C4" s="41"/>
      <c r="D4" s="43"/>
      <c r="E4" s="43"/>
      <c r="F4" s="43"/>
      <c r="G4" s="44"/>
      <c r="H4" s="19" t="s">
        <v>186</v>
      </c>
      <c r="I4" s="19" t="s">
        <v>70</v>
      </c>
      <c r="J4" s="19" t="s">
        <v>182</v>
      </c>
      <c r="K4" s="19" t="s">
        <v>197</v>
      </c>
      <c r="L4" s="42"/>
    </row>
    <row r="5" spans="2:12">
      <c r="B5" s="11" t="str">
        <f t="shared" ref="B5:B81" si="0">IFERROR(DEC2HEX(MATCH($H5,Mainリスト,FALSE)-1,1),"")</f>
        <v>0</v>
      </c>
      <c r="C5" s="12" t="str">
        <f t="shared" ref="C5:C81" si="1">IFERROR(DEC2HEX(MATCH($I5,Typeリスト,FALSE)-1,1),"")</f>
        <v>2</v>
      </c>
      <c r="D5" s="12" t="str">
        <f t="shared" ref="D5:D15" ca="1" si="2">IFERROR(DEC2HEX(MATCH($J5,INDIRECT($H5&amp;$I5&amp;"Sub1"&amp;"リスト"),FALSE)-1,1),"")</f>
        <v>0</v>
      </c>
      <c r="E5" s="13" t="str">
        <f t="shared" ref="E5:E15" ca="1" si="3">IFERROR(DEC2HEX(MATCH($K5,INDIRECT($H5&amp;$I5&amp;"Sub2"&amp;"リスト"),FALSE)-1,1),"")</f>
        <v>0</v>
      </c>
      <c r="F5" s="18" t="s">
        <v>259</v>
      </c>
      <c r="G5" s="14"/>
      <c r="H5" s="10" t="s">
        <v>204</v>
      </c>
      <c r="I5" s="10" t="s">
        <v>185</v>
      </c>
      <c r="J5" s="10" t="s">
        <v>211</v>
      </c>
      <c r="K5" s="10" t="s">
        <v>211</v>
      </c>
      <c r="L5" s="10"/>
    </row>
    <row r="6" spans="2:12">
      <c r="B6" s="11" t="str">
        <f t="shared" si="0"/>
        <v>0</v>
      </c>
      <c r="C6" s="12" t="str">
        <f t="shared" si="1"/>
        <v>2</v>
      </c>
      <c r="D6" s="12" t="str">
        <f t="shared" ca="1" si="2"/>
        <v>0</v>
      </c>
      <c r="E6" s="13" t="str">
        <f t="shared" ca="1" si="3"/>
        <v>0</v>
      </c>
      <c r="F6" s="18" t="s">
        <v>259</v>
      </c>
      <c r="G6" s="14" t="s">
        <v>1160</v>
      </c>
      <c r="H6" s="10" t="s">
        <v>204</v>
      </c>
      <c r="I6" s="10" t="s">
        <v>185</v>
      </c>
      <c r="J6" s="10" t="s">
        <v>211</v>
      </c>
      <c r="K6" s="10" t="s">
        <v>211</v>
      </c>
      <c r="L6" s="10"/>
    </row>
    <row r="7" spans="2:12">
      <c r="B7" s="11" t="str">
        <f t="shared" si="0"/>
        <v>0</v>
      </c>
      <c r="C7" s="12" t="str">
        <f t="shared" si="1"/>
        <v>2</v>
      </c>
      <c r="D7" s="12" t="str">
        <f t="shared" ca="1" si="2"/>
        <v>0</v>
      </c>
      <c r="E7" s="13" t="str">
        <f t="shared" ca="1" si="3"/>
        <v>0</v>
      </c>
      <c r="F7" s="18" t="s">
        <v>219</v>
      </c>
      <c r="G7" s="14" t="s">
        <v>124</v>
      </c>
      <c r="H7" s="10" t="s">
        <v>204</v>
      </c>
      <c r="I7" s="10" t="s">
        <v>185</v>
      </c>
      <c r="J7" s="10" t="s">
        <v>211</v>
      </c>
      <c r="K7" s="10" t="s">
        <v>211</v>
      </c>
      <c r="L7" s="10"/>
    </row>
    <row r="8" spans="2:12">
      <c r="B8" s="11" t="str">
        <f t="shared" si="0"/>
        <v>0</v>
      </c>
      <c r="C8" s="12" t="str">
        <f t="shared" si="1"/>
        <v>2</v>
      </c>
      <c r="D8" s="12" t="str">
        <f t="shared" ca="1" si="2"/>
        <v>1</v>
      </c>
      <c r="E8" s="13" t="str">
        <f t="shared" ca="1" si="3"/>
        <v>0</v>
      </c>
      <c r="F8" s="18" t="s">
        <v>219</v>
      </c>
      <c r="G8" s="14" t="s">
        <v>125</v>
      </c>
      <c r="H8" s="10" t="s">
        <v>204</v>
      </c>
      <c r="I8" s="10" t="s">
        <v>185</v>
      </c>
      <c r="J8" s="10" t="s">
        <v>1151</v>
      </c>
      <c r="K8" s="10" t="s">
        <v>211</v>
      </c>
      <c r="L8" s="10"/>
    </row>
    <row r="9" spans="2:12">
      <c r="B9" s="11" t="str">
        <f t="shared" si="0"/>
        <v>0</v>
      </c>
      <c r="C9" s="12" t="str">
        <f t="shared" si="1"/>
        <v>2</v>
      </c>
      <c r="D9" s="12" t="str">
        <f t="shared" ca="1" si="2"/>
        <v>2</v>
      </c>
      <c r="E9" s="13" t="str">
        <f t="shared" ca="1" si="3"/>
        <v>0</v>
      </c>
      <c r="F9" s="18" t="s">
        <v>219</v>
      </c>
      <c r="G9" s="14" t="s">
        <v>126</v>
      </c>
      <c r="H9" s="10" t="s">
        <v>204</v>
      </c>
      <c r="I9" s="10" t="s">
        <v>185</v>
      </c>
      <c r="J9" s="10" t="s">
        <v>1152</v>
      </c>
      <c r="K9" s="10" t="s">
        <v>211</v>
      </c>
      <c r="L9" s="10"/>
    </row>
    <row r="10" spans="2:12">
      <c r="B10" s="11" t="str">
        <f t="shared" si="0"/>
        <v>0</v>
      </c>
      <c r="C10" s="12" t="str">
        <f t="shared" si="1"/>
        <v>2</v>
      </c>
      <c r="D10" s="12" t="str">
        <f t="shared" ca="1" si="2"/>
        <v>3</v>
      </c>
      <c r="E10" s="13" t="str">
        <f t="shared" ca="1" si="3"/>
        <v>0</v>
      </c>
      <c r="F10" s="18" t="s">
        <v>219</v>
      </c>
      <c r="G10" s="14" t="s">
        <v>127</v>
      </c>
      <c r="H10" s="10" t="s">
        <v>204</v>
      </c>
      <c r="I10" s="10" t="s">
        <v>185</v>
      </c>
      <c r="J10" s="10" t="s">
        <v>1153</v>
      </c>
      <c r="K10" s="10" t="s">
        <v>211</v>
      </c>
      <c r="L10" s="10"/>
    </row>
    <row r="11" spans="2:12">
      <c r="B11" s="11" t="str">
        <f t="shared" si="0"/>
        <v>0</v>
      </c>
      <c r="C11" s="12" t="str">
        <f t="shared" si="1"/>
        <v>2</v>
      </c>
      <c r="D11" s="12" t="str">
        <f t="shared" ca="1" si="2"/>
        <v>4</v>
      </c>
      <c r="E11" s="13" t="str">
        <f t="shared" ca="1" si="3"/>
        <v>0</v>
      </c>
      <c r="F11" s="18" t="s">
        <v>219</v>
      </c>
      <c r="G11" s="14" t="s">
        <v>128</v>
      </c>
      <c r="H11" s="10" t="s">
        <v>204</v>
      </c>
      <c r="I11" s="10" t="s">
        <v>185</v>
      </c>
      <c r="J11" s="10" t="s">
        <v>1154</v>
      </c>
      <c r="K11" s="10" t="s">
        <v>211</v>
      </c>
      <c r="L11" s="10"/>
    </row>
    <row r="12" spans="2:12">
      <c r="B12" s="11" t="str">
        <f t="shared" si="0"/>
        <v>0</v>
      </c>
      <c r="C12" s="12" t="str">
        <f t="shared" si="1"/>
        <v>2</v>
      </c>
      <c r="D12" s="12" t="str">
        <f t="shared" ca="1" si="2"/>
        <v>5</v>
      </c>
      <c r="E12" s="13" t="str">
        <f t="shared" ca="1" si="3"/>
        <v>0</v>
      </c>
      <c r="F12" s="18" t="s">
        <v>219</v>
      </c>
      <c r="G12" s="14" t="s">
        <v>129</v>
      </c>
      <c r="H12" s="10" t="s">
        <v>204</v>
      </c>
      <c r="I12" s="10" t="s">
        <v>185</v>
      </c>
      <c r="J12" s="10" t="s">
        <v>59</v>
      </c>
      <c r="K12" s="10" t="s">
        <v>211</v>
      </c>
      <c r="L12" s="10"/>
    </row>
    <row r="13" spans="2:12">
      <c r="B13" s="11" t="str">
        <f t="shared" si="0"/>
        <v>0</v>
      </c>
      <c r="C13" s="12" t="str">
        <f t="shared" si="1"/>
        <v>2</v>
      </c>
      <c r="D13" s="12" t="str">
        <f t="shared" ca="1" si="2"/>
        <v>0</v>
      </c>
      <c r="E13" s="13" t="str">
        <f t="shared" ca="1" si="3"/>
        <v>1</v>
      </c>
      <c r="F13" s="18" t="s">
        <v>219</v>
      </c>
      <c r="G13" s="14" t="s">
        <v>297</v>
      </c>
      <c r="H13" s="10" t="s">
        <v>204</v>
      </c>
      <c r="I13" s="10" t="s">
        <v>185</v>
      </c>
      <c r="J13" s="10" t="s">
        <v>211</v>
      </c>
      <c r="K13" s="10" t="s">
        <v>1155</v>
      </c>
      <c r="L13" s="10"/>
    </row>
    <row r="14" spans="2:12">
      <c r="B14" s="11" t="str">
        <f t="shared" si="0"/>
        <v>0</v>
      </c>
      <c r="C14" s="12" t="str">
        <f t="shared" si="1"/>
        <v>2</v>
      </c>
      <c r="D14" s="12" t="str">
        <f t="shared" ca="1" si="2"/>
        <v>0</v>
      </c>
      <c r="E14" s="13" t="str">
        <f t="shared" ca="1" si="3"/>
        <v>2</v>
      </c>
      <c r="F14" s="18" t="s">
        <v>219</v>
      </c>
      <c r="G14" s="14" t="s">
        <v>298</v>
      </c>
      <c r="H14" s="10" t="s">
        <v>204</v>
      </c>
      <c r="I14" s="10" t="s">
        <v>185</v>
      </c>
      <c r="J14" s="10" t="s">
        <v>211</v>
      </c>
      <c r="K14" s="10" t="s">
        <v>169</v>
      </c>
      <c r="L14" s="10"/>
    </row>
    <row r="15" spans="2:12">
      <c r="B15" s="11" t="str">
        <f t="shared" si="0"/>
        <v>1</v>
      </c>
      <c r="C15" s="12" t="str">
        <f t="shared" si="1"/>
        <v>0</v>
      </c>
      <c r="D15" s="12" t="str">
        <f t="shared" ca="1" si="2"/>
        <v>0</v>
      </c>
      <c r="E15" s="13" t="str">
        <f t="shared" ca="1" si="3"/>
        <v>0</v>
      </c>
      <c r="F15" s="18" t="s">
        <v>259</v>
      </c>
      <c r="G15" s="14"/>
      <c r="H15" s="10" t="s">
        <v>48</v>
      </c>
      <c r="I15" s="10" t="s">
        <v>162</v>
      </c>
      <c r="J15" s="10" t="s">
        <v>211</v>
      </c>
      <c r="K15" s="10" t="s">
        <v>211</v>
      </c>
      <c r="L15" s="10"/>
    </row>
    <row r="16" spans="2:12">
      <c r="B16" s="11" t="str">
        <f t="shared" si="0"/>
        <v>1</v>
      </c>
      <c r="C16" s="12" t="str">
        <f t="shared" si="1"/>
        <v>0</v>
      </c>
      <c r="D16" s="12" t="str">
        <f t="shared" ref="D16:D82" ca="1" si="4">IFERROR(DEC2HEX(MATCH($J16,INDIRECT($H16&amp;$I16&amp;"Sub1"&amp;"リスト"),FALSE)-1,1),"")</f>
        <v>0</v>
      </c>
      <c r="E16" s="13" t="str">
        <f t="shared" ref="E16:E82" ca="1" si="5">IFERROR(DEC2HEX(MATCH($K16,INDIRECT($H16&amp;$I16&amp;"Sub2"&amp;"リスト"),FALSE)-1,1),"")</f>
        <v>0</v>
      </c>
      <c r="F16" s="18" t="s">
        <v>259</v>
      </c>
      <c r="G16" s="14" t="s">
        <v>267</v>
      </c>
      <c r="H16" s="10" t="s">
        <v>48</v>
      </c>
      <c r="I16" s="10" t="s">
        <v>162</v>
      </c>
      <c r="J16" s="10" t="s">
        <v>211</v>
      </c>
      <c r="K16" s="10" t="s">
        <v>211</v>
      </c>
      <c r="L16" s="10"/>
    </row>
    <row r="17" spans="2:12">
      <c r="B17" s="11" t="str">
        <f t="shared" si="0"/>
        <v>1</v>
      </c>
      <c r="C17" s="12" t="str">
        <f t="shared" si="1"/>
        <v>0</v>
      </c>
      <c r="D17" s="12" t="str">
        <f t="shared" ca="1" si="4"/>
        <v>0</v>
      </c>
      <c r="E17" s="13" t="str">
        <f t="shared" ca="1" si="5"/>
        <v>0</v>
      </c>
      <c r="F17" s="18" t="s">
        <v>219</v>
      </c>
      <c r="G17" s="14" t="s">
        <v>819</v>
      </c>
      <c r="H17" s="10" t="s">
        <v>48</v>
      </c>
      <c r="I17" s="10" t="s">
        <v>162</v>
      </c>
      <c r="J17" s="10" t="s">
        <v>211</v>
      </c>
      <c r="K17" s="10" t="s">
        <v>211</v>
      </c>
      <c r="L17" s="10" t="s">
        <v>216</v>
      </c>
    </row>
    <row r="18" spans="2:12">
      <c r="B18" s="11" t="str">
        <f t="shared" si="0"/>
        <v>1</v>
      </c>
      <c r="C18" s="12" t="str">
        <f t="shared" si="1"/>
        <v>1</v>
      </c>
      <c r="D18" s="12" t="str">
        <f t="shared" ca="1" si="4"/>
        <v>1</v>
      </c>
      <c r="E18" s="13" t="str">
        <f t="shared" ca="1" si="5"/>
        <v>0</v>
      </c>
      <c r="F18" s="18" t="s">
        <v>219</v>
      </c>
      <c r="G18" s="15" t="s">
        <v>818</v>
      </c>
      <c r="H18" s="10" t="s">
        <v>48</v>
      </c>
      <c r="I18" s="10" t="s">
        <v>180</v>
      </c>
      <c r="J18" s="10" t="s">
        <v>170</v>
      </c>
      <c r="K18" s="10" t="s">
        <v>211</v>
      </c>
      <c r="L18" s="10" t="s">
        <v>216</v>
      </c>
    </row>
    <row r="19" spans="2:12">
      <c r="B19" s="11" t="str">
        <f t="shared" si="0"/>
        <v>1</v>
      </c>
      <c r="C19" s="12" t="str">
        <f t="shared" si="1"/>
        <v>1</v>
      </c>
      <c r="D19" s="12" t="str">
        <f t="shared" ca="1" si="4"/>
        <v>1</v>
      </c>
      <c r="E19" s="13" t="str">
        <f t="shared" ca="1" si="5"/>
        <v>0</v>
      </c>
      <c r="F19" s="18" t="s">
        <v>215</v>
      </c>
      <c r="G19" s="15" t="s">
        <v>10</v>
      </c>
      <c r="H19" s="10" t="s">
        <v>48</v>
      </c>
      <c r="I19" s="10" t="s">
        <v>180</v>
      </c>
      <c r="J19" s="10" t="s">
        <v>170</v>
      </c>
      <c r="K19" s="10" t="s">
        <v>211</v>
      </c>
      <c r="L19" s="10"/>
    </row>
    <row r="20" spans="2:12">
      <c r="B20" s="11" t="str">
        <f t="shared" si="0"/>
        <v>1</v>
      </c>
      <c r="C20" s="12" t="str">
        <f t="shared" si="1"/>
        <v>1</v>
      </c>
      <c r="D20" s="12" t="str">
        <f t="shared" ca="1" si="4"/>
        <v>1</v>
      </c>
      <c r="E20" s="13" t="str">
        <f t="shared" ca="1" si="5"/>
        <v>0</v>
      </c>
      <c r="F20" s="18" t="s">
        <v>215</v>
      </c>
      <c r="G20" s="15" t="s">
        <v>161</v>
      </c>
      <c r="H20" s="10" t="s">
        <v>48</v>
      </c>
      <c r="I20" s="10" t="s">
        <v>180</v>
      </c>
      <c r="J20" s="10" t="s">
        <v>170</v>
      </c>
      <c r="K20" s="10" t="s">
        <v>211</v>
      </c>
      <c r="L20" s="10"/>
    </row>
    <row r="21" spans="2:12">
      <c r="B21" s="11" t="str">
        <f t="shared" si="0"/>
        <v>1</v>
      </c>
      <c r="C21" s="12" t="str">
        <f t="shared" si="1"/>
        <v>1</v>
      </c>
      <c r="D21" s="12" t="str">
        <f t="shared" ca="1" si="4"/>
        <v>1</v>
      </c>
      <c r="E21" s="13" t="str">
        <f t="shared" ca="1" si="5"/>
        <v>0</v>
      </c>
      <c r="F21" s="18" t="s">
        <v>215</v>
      </c>
      <c r="G21" s="15" t="s">
        <v>11</v>
      </c>
      <c r="H21" s="10" t="s">
        <v>48</v>
      </c>
      <c r="I21" s="10" t="s">
        <v>180</v>
      </c>
      <c r="J21" s="10" t="s">
        <v>170</v>
      </c>
      <c r="K21" s="10" t="s">
        <v>211</v>
      </c>
      <c r="L21" s="10"/>
    </row>
    <row r="22" spans="2:12">
      <c r="B22" s="11" t="str">
        <f t="shared" si="0"/>
        <v>1</v>
      </c>
      <c r="C22" s="12" t="str">
        <f t="shared" si="1"/>
        <v>1</v>
      </c>
      <c r="D22" s="12" t="str">
        <f t="shared" ca="1" si="4"/>
        <v>2</v>
      </c>
      <c r="E22" s="13" t="str">
        <f t="shared" ca="1" si="5"/>
        <v>0</v>
      </c>
      <c r="F22" s="18" t="s">
        <v>219</v>
      </c>
      <c r="G22" s="15" t="s">
        <v>816</v>
      </c>
      <c r="H22" s="10" t="s">
        <v>48</v>
      </c>
      <c r="I22" s="10" t="s">
        <v>180</v>
      </c>
      <c r="J22" s="10" t="s">
        <v>171</v>
      </c>
      <c r="K22" s="10" t="s">
        <v>211</v>
      </c>
      <c r="L22" s="10"/>
    </row>
    <row r="23" spans="2:12">
      <c r="B23" s="11" t="str">
        <f t="shared" si="0"/>
        <v>1</v>
      </c>
      <c r="C23" s="12" t="str">
        <f t="shared" si="1"/>
        <v>1</v>
      </c>
      <c r="D23" s="12" t="str">
        <f t="shared" ca="1" si="4"/>
        <v>2</v>
      </c>
      <c r="E23" s="13" t="str">
        <f t="shared" ca="1" si="5"/>
        <v>0</v>
      </c>
      <c r="F23" s="18" t="s">
        <v>215</v>
      </c>
      <c r="G23" s="15" t="s">
        <v>13</v>
      </c>
      <c r="H23" s="10" t="s">
        <v>48</v>
      </c>
      <c r="I23" s="10" t="s">
        <v>180</v>
      </c>
      <c r="J23" s="10" t="s">
        <v>171</v>
      </c>
      <c r="K23" s="10" t="s">
        <v>211</v>
      </c>
      <c r="L23" s="10"/>
    </row>
    <row r="24" spans="2:12">
      <c r="B24" s="11" t="str">
        <f t="shared" si="0"/>
        <v>1</v>
      </c>
      <c r="C24" s="12" t="str">
        <f t="shared" si="1"/>
        <v>1</v>
      </c>
      <c r="D24" s="12" t="str">
        <f t="shared" ca="1" si="4"/>
        <v>3</v>
      </c>
      <c r="E24" s="13" t="str">
        <f t="shared" ca="1" si="5"/>
        <v>0</v>
      </c>
      <c r="F24" s="18" t="s">
        <v>219</v>
      </c>
      <c r="G24" s="15" t="s">
        <v>814</v>
      </c>
      <c r="H24" s="10" t="s">
        <v>48</v>
      </c>
      <c r="I24" s="10" t="s">
        <v>180</v>
      </c>
      <c r="J24" s="10" t="s">
        <v>138</v>
      </c>
      <c r="K24" s="10" t="s">
        <v>211</v>
      </c>
      <c r="L24" s="10" t="s">
        <v>217</v>
      </c>
    </row>
    <row r="25" spans="2:12">
      <c r="B25" s="11" t="str">
        <f t="shared" si="0"/>
        <v>1</v>
      </c>
      <c r="C25" s="12" t="str">
        <f t="shared" si="1"/>
        <v>1</v>
      </c>
      <c r="D25" s="12" t="str">
        <f t="shared" ca="1" si="4"/>
        <v>3</v>
      </c>
      <c r="E25" s="13" t="str">
        <f t="shared" ca="1" si="5"/>
        <v>0</v>
      </c>
      <c r="F25" s="18" t="s">
        <v>215</v>
      </c>
      <c r="G25" s="15" t="s">
        <v>139</v>
      </c>
      <c r="H25" s="10" t="s">
        <v>48</v>
      </c>
      <c r="I25" s="10" t="s">
        <v>180</v>
      </c>
      <c r="J25" s="10" t="s">
        <v>138</v>
      </c>
      <c r="K25" s="10" t="s">
        <v>211</v>
      </c>
      <c r="L25" s="10"/>
    </row>
    <row r="26" spans="2:12">
      <c r="B26" s="11" t="str">
        <f t="shared" si="0"/>
        <v>1</v>
      </c>
      <c r="C26" s="12" t="str">
        <f t="shared" si="1"/>
        <v>2</v>
      </c>
      <c r="D26" s="12" t="str">
        <f t="shared" ca="1" si="4"/>
        <v>0</v>
      </c>
      <c r="E26" s="13" t="str">
        <f t="shared" ca="1" si="5"/>
        <v>0</v>
      </c>
      <c r="F26" s="18" t="s">
        <v>259</v>
      </c>
      <c r="G26" s="15" t="s">
        <v>1156</v>
      </c>
      <c r="H26" s="10" t="s">
        <v>48</v>
      </c>
      <c r="I26" s="10" t="s">
        <v>185</v>
      </c>
      <c r="J26" s="10" t="s">
        <v>211</v>
      </c>
      <c r="K26" s="10" t="s">
        <v>211</v>
      </c>
      <c r="L26" s="10"/>
    </row>
    <row r="27" spans="2:12">
      <c r="B27" s="11" t="str">
        <f t="shared" si="0"/>
        <v>1</v>
      </c>
      <c r="C27" s="12" t="str">
        <f t="shared" si="1"/>
        <v>2</v>
      </c>
      <c r="D27" s="12" t="str">
        <f t="shared" ca="1" si="4"/>
        <v>1</v>
      </c>
      <c r="E27" s="13" t="str">
        <f t="shared" ca="1" si="5"/>
        <v>0</v>
      </c>
      <c r="F27" s="18" t="s">
        <v>219</v>
      </c>
      <c r="G27" s="15" t="s">
        <v>130</v>
      </c>
      <c r="H27" s="10" t="s">
        <v>48</v>
      </c>
      <c r="I27" s="10" t="s">
        <v>185</v>
      </c>
      <c r="J27" s="10" t="s">
        <v>1151</v>
      </c>
      <c r="K27" s="10" t="s">
        <v>211</v>
      </c>
      <c r="L27" s="10" t="s">
        <v>1148</v>
      </c>
    </row>
    <row r="28" spans="2:12">
      <c r="B28" s="11" t="str">
        <f t="shared" si="0"/>
        <v>1</v>
      </c>
      <c r="C28" s="12" t="str">
        <f t="shared" si="1"/>
        <v>2</v>
      </c>
      <c r="D28" s="12" t="str">
        <f t="shared" ca="1" si="4"/>
        <v>2</v>
      </c>
      <c r="E28" s="13" t="str">
        <f t="shared" ca="1" si="5"/>
        <v>0</v>
      </c>
      <c r="F28" s="18" t="s">
        <v>219</v>
      </c>
      <c r="G28" s="15" t="s">
        <v>131</v>
      </c>
      <c r="H28" s="10" t="s">
        <v>48</v>
      </c>
      <c r="I28" s="10" t="s">
        <v>185</v>
      </c>
      <c r="J28" s="10" t="s">
        <v>1152</v>
      </c>
      <c r="K28" s="10" t="s">
        <v>211</v>
      </c>
      <c r="L28" s="10" t="s">
        <v>1148</v>
      </c>
    </row>
    <row r="29" spans="2:12">
      <c r="B29" s="11" t="str">
        <f t="shared" si="0"/>
        <v>1</v>
      </c>
      <c r="C29" s="12" t="str">
        <f t="shared" si="1"/>
        <v>2</v>
      </c>
      <c r="D29" s="12" t="str">
        <f t="shared" ca="1" si="4"/>
        <v>3</v>
      </c>
      <c r="E29" s="13" t="str">
        <f t="shared" ca="1" si="5"/>
        <v>0</v>
      </c>
      <c r="F29" s="18" t="s">
        <v>219</v>
      </c>
      <c r="G29" s="15" t="s">
        <v>132</v>
      </c>
      <c r="H29" s="10" t="s">
        <v>48</v>
      </c>
      <c r="I29" s="10" t="s">
        <v>185</v>
      </c>
      <c r="J29" s="10" t="s">
        <v>1153</v>
      </c>
      <c r="K29" s="10" t="s">
        <v>211</v>
      </c>
      <c r="L29" s="10" t="s">
        <v>1148</v>
      </c>
    </row>
    <row r="30" spans="2:12">
      <c r="B30" s="11" t="str">
        <f t="shared" si="0"/>
        <v>1</v>
      </c>
      <c r="C30" s="12" t="str">
        <f t="shared" si="1"/>
        <v>2</v>
      </c>
      <c r="D30" s="12" t="str">
        <f t="shared" ca="1" si="4"/>
        <v>4</v>
      </c>
      <c r="E30" s="13" t="str">
        <f t="shared" ca="1" si="5"/>
        <v>0</v>
      </c>
      <c r="F30" s="18" t="s">
        <v>219</v>
      </c>
      <c r="G30" s="15" t="s">
        <v>133</v>
      </c>
      <c r="H30" s="10" t="s">
        <v>48</v>
      </c>
      <c r="I30" s="10" t="s">
        <v>185</v>
      </c>
      <c r="J30" s="10" t="s">
        <v>1154</v>
      </c>
      <c r="K30" s="10" t="s">
        <v>211</v>
      </c>
      <c r="L30" s="10" t="s">
        <v>1148</v>
      </c>
    </row>
    <row r="31" spans="2:12">
      <c r="B31" s="11" t="str">
        <f t="shared" si="0"/>
        <v>1</v>
      </c>
      <c r="C31" s="12" t="str">
        <f t="shared" si="1"/>
        <v>2</v>
      </c>
      <c r="D31" s="12" t="str">
        <f t="shared" ca="1" si="4"/>
        <v>0</v>
      </c>
      <c r="E31" s="13" t="str">
        <f t="shared" ca="1" si="5"/>
        <v>1</v>
      </c>
      <c r="F31" s="18" t="s">
        <v>219</v>
      </c>
      <c r="G31" s="15" t="s">
        <v>344</v>
      </c>
      <c r="H31" s="10" t="s">
        <v>48</v>
      </c>
      <c r="I31" s="10" t="s">
        <v>185</v>
      </c>
      <c r="J31" s="10" t="s">
        <v>211</v>
      </c>
      <c r="K31" s="10" t="s">
        <v>1155</v>
      </c>
      <c r="L31" s="10" t="s">
        <v>1148</v>
      </c>
    </row>
    <row r="32" spans="2:12">
      <c r="B32" s="11" t="str">
        <f t="shared" si="0"/>
        <v>1</v>
      </c>
      <c r="C32" s="12" t="str">
        <f t="shared" si="1"/>
        <v>2</v>
      </c>
      <c r="D32" s="12" t="str">
        <f t="shared" ca="1" si="4"/>
        <v>0</v>
      </c>
      <c r="E32" s="13" t="str">
        <f t="shared" ca="1" si="5"/>
        <v>2</v>
      </c>
      <c r="F32" s="18" t="s">
        <v>219</v>
      </c>
      <c r="G32" s="15" t="s">
        <v>379</v>
      </c>
      <c r="H32" s="10" t="s">
        <v>48</v>
      </c>
      <c r="I32" s="10" t="s">
        <v>185</v>
      </c>
      <c r="J32" s="10" t="s">
        <v>211</v>
      </c>
      <c r="K32" s="10" t="s">
        <v>169</v>
      </c>
      <c r="L32" s="10" t="s">
        <v>1148</v>
      </c>
    </row>
    <row r="33" spans="2:12">
      <c r="B33" s="11" t="str">
        <f t="shared" si="0"/>
        <v>2</v>
      </c>
      <c r="C33" s="12" t="str">
        <f t="shared" si="1"/>
        <v>0</v>
      </c>
      <c r="D33" s="12" t="str">
        <f t="shared" ca="1" si="4"/>
        <v>0</v>
      </c>
      <c r="E33" s="13" t="str">
        <f t="shared" ca="1" si="5"/>
        <v>0</v>
      </c>
      <c r="F33" s="18" t="s">
        <v>259</v>
      </c>
      <c r="G33" s="15"/>
      <c r="H33" s="10" t="s">
        <v>49</v>
      </c>
      <c r="I33" s="10" t="s">
        <v>162</v>
      </c>
      <c r="J33" s="10" t="s">
        <v>211</v>
      </c>
      <c r="K33" s="10" t="s">
        <v>211</v>
      </c>
      <c r="L33" s="10"/>
    </row>
    <row r="34" spans="2:12">
      <c r="B34" s="11" t="str">
        <f t="shared" si="0"/>
        <v>2</v>
      </c>
      <c r="C34" s="12" t="str">
        <f t="shared" si="1"/>
        <v>0</v>
      </c>
      <c r="D34" s="12" t="str">
        <f t="shared" ca="1" si="4"/>
        <v>0</v>
      </c>
      <c r="E34" s="13" t="str">
        <f t="shared" ca="1" si="5"/>
        <v>0</v>
      </c>
      <c r="F34" s="18" t="s">
        <v>259</v>
      </c>
      <c r="G34" s="15" t="s">
        <v>266</v>
      </c>
      <c r="H34" s="10" t="s">
        <v>49</v>
      </c>
      <c r="I34" s="10" t="s">
        <v>162</v>
      </c>
      <c r="J34" s="10" t="s">
        <v>211</v>
      </c>
      <c r="K34" s="10" t="s">
        <v>211</v>
      </c>
      <c r="L34" s="10"/>
    </row>
    <row r="35" spans="2:12">
      <c r="B35" s="11" t="str">
        <f t="shared" si="0"/>
        <v>2</v>
      </c>
      <c r="C35" s="12" t="str">
        <f t="shared" si="1"/>
        <v>0</v>
      </c>
      <c r="D35" s="12" t="str">
        <f t="shared" ca="1" si="4"/>
        <v>0</v>
      </c>
      <c r="E35" s="13" t="str">
        <f t="shared" ca="1" si="5"/>
        <v>0</v>
      </c>
      <c r="F35" s="18" t="s">
        <v>219</v>
      </c>
      <c r="G35" s="14" t="s">
        <v>812</v>
      </c>
      <c r="H35" s="10" t="s">
        <v>49</v>
      </c>
      <c r="I35" s="10" t="s">
        <v>162</v>
      </c>
      <c r="J35" s="10" t="s">
        <v>211</v>
      </c>
      <c r="K35" s="10" t="s">
        <v>211</v>
      </c>
      <c r="L35" s="10"/>
    </row>
    <row r="36" spans="2:12">
      <c r="B36" s="11" t="str">
        <f t="shared" si="0"/>
        <v>2</v>
      </c>
      <c r="C36" s="12" t="str">
        <f t="shared" si="1"/>
        <v>1</v>
      </c>
      <c r="D36" s="12" t="str">
        <f t="shared" ca="1" si="4"/>
        <v>1</v>
      </c>
      <c r="E36" s="13" t="str">
        <f t="shared" ca="1" si="5"/>
        <v>0</v>
      </c>
      <c r="F36" s="18" t="s">
        <v>219</v>
      </c>
      <c r="G36" s="15" t="s">
        <v>811</v>
      </c>
      <c r="H36" s="10" t="s">
        <v>49</v>
      </c>
      <c r="I36" s="10" t="s">
        <v>180</v>
      </c>
      <c r="J36" s="10" t="s">
        <v>50</v>
      </c>
      <c r="K36" s="10" t="s">
        <v>211</v>
      </c>
      <c r="L36" s="10" t="s">
        <v>218</v>
      </c>
    </row>
    <row r="37" spans="2:12">
      <c r="B37" s="11" t="str">
        <f t="shared" si="0"/>
        <v>2</v>
      </c>
      <c r="C37" s="12" t="str">
        <f t="shared" si="1"/>
        <v>1</v>
      </c>
      <c r="D37" s="12" t="str">
        <f t="shared" ca="1" si="4"/>
        <v>1</v>
      </c>
      <c r="E37" s="13" t="str">
        <f t="shared" ca="1" si="5"/>
        <v>0</v>
      </c>
      <c r="F37" s="18" t="s">
        <v>215</v>
      </c>
      <c r="G37" s="15" t="s">
        <v>14</v>
      </c>
      <c r="H37" s="10" t="s">
        <v>49</v>
      </c>
      <c r="I37" s="10" t="s">
        <v>180</v>
      </c>
      <c r="J37" s="10" t="s">
        <v>50</v>
      </c>
      <c r="K37" s="10" t="s">
        <v>211</v>
      </c>
      <c r="L37" s="10"/>
    </row>
    <row r="38" spans="2:12">
      <c r="B38" s="11" t="str">
        <f t="shared" si="0"/>
        <v>2</v>
      </c>
      <c r="C38" s="12" t="str">
        <f t="shared" si="1"/>
        <v>1</v>
      </c>
      <c r="D38" s="12" t="str">
        <f t="shared" ca="1" si="4"/>
        <v>1</v>
      </c>
      <c r="E38" s="13" t="str">
        <f t="shared" ca="1" si="5"/>
        <v>0</v>
      </c>
      <c r="F38" s="18" t="s">
        <v>215</v>
      </c>
      <c r="G38" s="15" t="s">
        <v>15</v>
      </c>
      <c r="H38" s="10" t="s">
        <v>49</v>
      </c>
      <c r="I38" s="10" t="s">
        <v>180</v>
      </c>
      <c r="J38" s="10" t="s">
        <v>50</v>
      </c>
      <c r="K38" s="10" t="s">
        <v>211</v>
      </c>
      <c r="L38" s="10"/>
    </row>
    <row r="39" spans="2:12">
      <c r="B39" s="11" t="str">
        <f t="shared" si="0"/>
        <v>2</v>
      </c>
      <c r="C39" s="12" t="str">
        <f t="shared" si="1"/>
        <v>1</v>
      </c>
      <c r="D39" s="12" t="str">
        <f t="shared" ca="1" si="4"/>
        <v>1</v>
      </c>
      <c r="E39" s="13" t="str">
        <f t="shared" ca="1" si="5"/>
        <v>0</v>
      </c>
      <c r="F39" s="18" t="s">
        <v>215</v>
      </c>
      <c r="G39" s="15" t="s">
        <v>16</v>
      </c>
      <c r="H39" s="10" t="s">
        <v>49</v>
      </c>
      <c r="I39" s="10" t="s">
        <v>180</v>
      </c>
      <c r="J39" s="10" t="s">
        <v>50</v>
      </c>
      <c r="K39" s="10" t="s">
        <v>211</v>
      </c>
      <c r="L39" s="10"/>
    </row>
    <row r="40" spans="2:12">
      <c r="B40" s="11" t="str">
        <f t="shared" si="0"/>
        <v>2</v>
      </c>
      <c r="C40" s="12" t="str">
        <f t="shared" si="1"/>
        <v>1</v>
      </c>
      <c r="D40" s="12" t="str">
        <f t="shared" ca="1" si="4"/>
        <v>1</v>
      </c>
      <c r="E40" s="13" t="str">
        <f t="shared" ca="1" si="5"/>
        <v>0</v>
      </c>
      <c r="F40" s="18" t="s">
        <v>215</v>
      </c>
      <c r="G40" s="15" t="s">
        <v>17</v>
      </c>
      <c r="H40" s="10" t="s">
        <v>49</v>
      </c>
      <c r="I40" s="10" t="s">
        <v>180</v>
      </c>
      <c r="J40" s="10" t="s">
        <v>50</v>
      </c>
      <c r="K40" s="10" t="s">
        <v>211</v>
      </c>
      <c r="L40" s="10"/>
    </row>
    <row r="41" spans="2:12">
      <c r="B41" s="11" t="str">
        <f t="shared" si="0"/>
        <v>2</v>
      </c>
      <c r="C41" s="12" t="str">
        <f t="shared" si="1"/>
        <v>1</v>
      </c>
      <c r="D41" s="12" t="str">
        <f t="shared" ca="1" si="4"/>
        <v>1</v>
      </c>
      <c r="E41" s="13" t="str">
        <f t="shared" ca="1" si="5"/>
        <v>0</v>
      </c>
      <c r="F41" s="18" t="s">
        <v>215</v>
      </c>
      <c r="G41" s="15" t="s">
        <v>18</v>
      </c>
      <c r="H41" s="10" t="s">
        <v>49</v>
      </c>
      <c r="I41" s="10" t="s">
        <v>180</v>
      </c>
      <c r="J41" s="10" t="s">
        <v>50</v>
      </c>
      <c r="K41" s="10" t="s">
        <v>211</v>
      </c>
      <c r="L41" s="10"/>
    </row>
    <row r="42" spans="2:12">
      <c r="B42" s="11" t="str">
        <f t="shared" si="0"/>
        <v>2</v>
      </c>
      <c r="C42" s="12" t="str">
        <f t="shared" si="1"/>
        <v>1</v>
      </c>
      <c r="D42" s="12" t="str">
        <f t="shared" ca="1" si="4"/>
        <v>1</v>
      </c>
      <c r="E42" s="13" t="str">
        <f t="shared" ca="1" si="5"/>
        <v>0</v>
      </c>
      <c r="F42" s="18" t="s">
        <v>215</v>
      </c>
      <c r="G42" s="15" t="s">
        <v>1213</v>
      </c>
      <c r="H42" s="10" t="s">
        <v>49</v>
      </c>
      <c r="I42" s="10" t="s">
        <v>180</v>
      </c>
      <c r="J42" s="10" t="s">
        <v>50</v>
      </c>
      <c r="K42" s="10" t="s">
        <v>211</v>
      </c>
      <c r="L42" s="10"/>
    </row>
    <row r="43" spans="2:12">
      <c r="B43" s="11" t="str">
        <f t="shared" si="0"/>
        <v>2</v>
      </c>
      <c r="C43" s="12" t="str">
        <f t="shared" si="1"/>
        <v>1</v>
      </c>
      <c r="D43" s="12" t="str">
        <f t="shared" ca="1" si="4"/>
        <v>2</v>
      </c>
      <c r="E43" s="13" t="str">
        <f t="shared" ca="1" si="5"/>
        <v>0</v>
      </c>
      <c r="F43" s="18" t="s">
        <v>219</v>
      </c>
      <c r="G43" s="15" t="s">
        <v>809</v>
      </c>
      <c r="H43" s="10" t="s">
        <v>49</v>
      </c>
      <c r="I43" s="10" t="s">
        <v>180</v>
      </c>
      <c r="J43" s="10" t="s">
        <v>172</v>
      </c>
      <c r="K43" s="10" t="s">
        <v>211</v>
      </c>
      <c r="L43" s="10"/>
    </row>
    <row r="44" spans="2:12">
      <c r="B44" s="11" t="str">
        <f t="shared" si="0"/>
        <v>2</v>
      </c>
      <c r="C44" s="12" t="str">
        <f t="shared" si="1"/>
        <v>1</v>
      </c>
      <c r="D44" s="12" t="str">
        <f t="shared" ca="1" si="4"/>
        <v>2</v>
      </c>
      <c r="E44" s="13" t="str">
        <f t="shared" ca="1" si="5"/>
        <v>0</v>
      </c>
      <c r="F44" s="18" t="s">
        <v>215</v>
      </c>
      <c r="G44" s="15" t="s">
        <v>12</v>
      </c>
      <c r="H44" s="10" t="s">
        <v>49</v>
      </c>
      <c r="I44" s="10" t="s">
        <v>180</v>
      </c>
      <c r="J44" s="10" t="s">
        <v>172</v>
      </c>
      <c r="K44" s="10" t="s">
        <v>211</v>
      </c>
      <c r="L44" s="10"/>
    </row>
    <row r="45" spans="2:12">
      <c r="B45" s="11" t="str">
        <f t="shared" si="0"/>
        <v>2</v>
      </c>
      <c r="C45" s="12" t="str">
        <f t="shared" si="1"/>
        <v>1</v>
      </c>
      <c r="D45" s="12" t="str">
        <f t="shared" ca="1" si="4"/>
        <v>3</v>
      </c>
      <c r="E45" s="13" t="str">
        <f t="shared" ca="1" si="5"/>
        <v>0</v>
      </c>
      <c r="F45" s="18" t="s">
        <v>219</v>
      </c>
      <c r="G45" s="15" t="s">
        <v>807</v>
      </c>
      <c r="H45" s="10" t="s">
        <v>49</v>
      </c>
      <c r="I45" s="10" t="s">
        <v>180</v>
      </c>
      <c r="J45" s="10" t="s">
        <v>51</v>
      </c>
      <c r="K45" s="10" t="s">
        <v>211</v>
      </c>
      <c r="L45" s="10"/>
    </row>
    <row r="46" spans="2:12">
      <c r="B46" s="11" t="str">
        <f t="shared" si="0"/>
        <v>2</v>
      </c>
      <c r="C46" s="12" t="str">
        <f t="shared" si="1"/>
        <v>1</v>
      </c>
      <c r="D46" s="12" t="str">
        <f t="shared" ca="1" si="4"/>
        <v>3</v>
      </c>
      <c r="E46" s="13" t="str">
        <f t="shared" ca="1" si="5"/>
        <v>0</v>
      </c>
      <c r="F46" s="18" t="s">
        <v>215</v>
      </c>
      <c r="G46" s="15" t="s">
        <v>66</v>
      </c>
      <c r="H46" s="10" t="s">
        <v>49</v>
      </c>
      <c r="I46" s="10" t="s">
        <v>180</v>
      </c>
      <c r="J46" s="10" t="s">
        <v>51</v>
      </c>
      <c r="K46" s="10" t="s">
        <v>211</v>
      </c>
      <c r="L46" s="10"/>
    </row>
    <row r="47" spans="2:12">
      <c r="B47" s="11" t="str">
        <f t="shared" si="0"/>
        <v>2</v>
      </c>
      <c r="C47" s="12" t="str">
        <f t="shared" si="1"/>
        <v>1</v>
      </c>
      <c r="D47" s="12" t="str">
        <f t="shared" ca="1" si="4"/>
        <v>4</v>
      </c>
      <c r="E47" s="13" t="str">
        <f t="shared" ca="1" si="5"/>
        <v>0</v>
      </c>
      <c r="F47" s="18" t="s">
        <v>219</v>
      </c>
      <c r="G47" s="15" t="s">
        <v>805</v>
      </c>
      <c r="H47" s="10" t="s">
        <v>49</v>
      </c>
      <c r="I47" s="10" t="s">
        <v>180</v>
      </c>
      <c r="J47" s="10" t="s">
        <v>173</v>
      </c>
      <c r="K47" s="10" t="s">
        <v>211</v>
      </c>
      <c r="L47" s="10"/>
    </row>
    <row r="48" spans="2:12">
      <c r="B48" s="11" t="str">
        <f t="shared" si="0"/>
        <v>2</v>
      </c>
      <c r="C48" s="12" t="str">
        <f t="shared" si="1"/>
        <v>1</v>
      </c>
      <c r="D48" s="12" t="str">
        <f t="shared" ca="1" si="4"/>
        <v>4</v>
      </c>
      <c r="E48" s="13" t="str">
        <f t="shared" ca="1" si="5"/>
        <v>0</v>
      </c>
      <c r="F48" s="18" t="s">
        <v>215</v>
      </c>
      <c r="G48" s="15" t="s">
        <v>67</v>
      </c>
      <c r="H48" s="10" t="s">
        <v>49</v>
      </c>
      <c r="I48" s="10" t="s">
        <v>180</v>
      </c>
      <c r="J48" s="10" t="s">
        <v>173</v>
      </c>
      <c r="K48" s="10" t="s">
        <v>211</v>
      </c>
      <c r="L48" s="10"/>
    </row>
    <row r="49" spans="2:12">
      <c r="B49" s="11" t="str">
        <f t="shared" si="0"/>
        <v>2</v>
      </c>
      <c r="C49" s="12" t="str">
        <f t="shared" si="1"/>
        <v>1</v>
      </c>
      <c r="D49" s="12" t="str">
        <f t="shared" ca="1" si="4"/>
        <v>4</v>
      </c>
      <c r="E49" s="13" t="str">
        <f t="shared" ca="1" si="5"/>
        <v>0</v>
      </c>
      <c r="F49" s="18" t="s">
        <v>215</v>
      </c>
      <c r="G49" s="15" t="s">
        <v>37</v>
      </c>
      <c r="H49" s="10" t="s">
        <v>49</v>
      </c>
      <c r="I49" s="10" t="s">
        <v>180</v>
      </c>
      <c r="J49" s="10" t="s">
        <v>173</v>
      </c>
      <c r="K49" s="10" t="s">
        <v>211</v>
      </c>
      <c r="L49" s="10"/>
    </row>
    <row r="50" spans="2:12">
      <c r="B50" s="11" t="str">
        <f t="shared" si="0"/>
        <v>2</v>
      </c>
      <c r="C50" s="12" t="str">
        <f t="shared" si="1"/>
        <v>1</v>
      </c>
      <c r="D50" s="12" t="str">
        <f t="shared" ca="1" si="4"/>
        <v>4</v>
      </c>
      <c r="E50" s="13" t="str">
        <f t="shared" ca="1" si="5"/>
        <v>0</v>
      </c>
      <c r="F50" s="18" t="s">
        <v>215</v>
      </c>
      <c r="G50" s="15" t="s">
        <v>38</v>
      </c>
      <c r="H50" s="10" t="s">
        <v>49</v>
      </c>
      <c r="I50" s="10" t="s">
        <v>180</v>
      </c>
      <c r="J50" s="10" t="s">
        <v>173</v>
      </c>
      <c r="K50" s="10" t="s">
        <v>211</v>
      </c>
      <c r="L50" s="10"/>
    </row>
    <row r="51" spans="2:12">
      <c r="B51" s="11" t="str">
        <f t="shared" si="0"/>
        <v>2</v>
      </c>
      <c r="C51" s="12" t="str">
        <f t="shared" si="1"/>
        <v>1</v>
      </c>
      <c r="D51" s="12" t="str">
        <f t="shared" ca="1" si="4"/>
        <v>4</v>
      </c>
      <c r="E51" s="13" t="str">
        <f t="shared" ca="1" si="5"/>
        <v>0</v>
      </c>
      <c r="F51" s="18" t="s">
        <v>215</v>
      </c>
      <c r="G51" s="15" t="s">
        <v>39</v>
      </c>
      <c r="H51" s="10" t="s">
        <v>49</v>
      </c>
      <c r="I51" s="10" t="s">
        <v>180</v>
      </c>
      <c r="J51" s="10" t="s">
        <v>173</v>
      </c>
      <c r="K51" s="10" t="s">
        <v>211</v>
      </c>
      <c r="L51" s="10"/>
    </row>
    <row r="52" spans="2:12">
      <c r="B52" s="11" t="str">
        <f t="shared" si="0"/>
        <v>2</v>
      </c>
      <c r="C52" s="12" t="str">
        <f t="shared" si="1"/>
        <v>1</v>
      </c>
      <c r="D52" s="12" t="str">
        <f t="shared" ca="1" si="4"/>
        <v>4</v>
      </c>
      <c r="E52" s="13" t="str">
        <f t="shared" ca="1" si="5"/>
        <v>0</v>
      </c>
      <c r="F52" s="18" t="s">
        <v>215</v>
      </c>
      <c r="G52" s="15" t="s">
        <v>40</v>
      </c>
      <c r="H52" s="10" t="s">
        <v>49</v>
      </c>
      <c r="I52" s="10" t="s">
        <v>180</v>
      </c>
      <c r="J52" s="10" t="s">
        <v>173</v>
      </c>
      <c r="K52" s="10" t="s">
        <v>211</v>
      </c>
      <c r="L52" s="10"/>
    </row>
    <row r="53" spans="2:12">
      <c r="B53" s="11" t="str">
        <f t="shared" si="0"/>
        <v>2</v>
      </c>
      <c r="C53" s="12" t="str">
        <f t="shared" si="1"/>
        <v>1</v>
      </c>
      <c r="D53" s="12" t="str">
        <f t="shared" ca="1" si="4"/>
        <v>4</v>
      </c>
      <c r="E53" s="13" t="str">
        <f t="shared" ca="1" si="5"/>
        <v>0</v>
      </c>
      <c r="F53" s="18" t="s">
        <v>215</v>
      </c>
      <c r="G53" s="15" t="s">
        <v>41</v>
      </c>
      <c r="H53" s="10" t="s">
        <v>49</v>
      </c>
      <c r="I53" s="10" t="s">
        <v>180</v>
      </c>
      <c r="J53" s="10" t="s">
        <v>173</v>
      </c>
      <c r="K53" s="10" t="s">
        <v>211</v>
      </c>
      <c r="L53" s="10"/>
    </row>
    <row r="54" spans="2:12">
      <c r="B54" s="11" t="str">
        <f t="shared" si="0"/>
        <v>2</v>
      </c>
      <c r="C54" s="12" t="str">
        <f t="shared" si="1"/>
        <v>1</v>
      </c>
      <c r="D54" s="12" t="str">
        <f t="shared" ca="1" si="4"/>
        <v>4</v>
      </c>
      <c r="E54" s="13" t="str">
        <f t="shared" ca="1" si="5"/>
        <v>0</v>
      </c>
      <c r="F54" s="18" t="s">
        <v>215</v>
      </c>
      <c r="G54" s="15" t="s">
        <v>42</v>
      </c>
      <c r="H54" s="10" t="s">
        <v>49</v>
      </c>
      <c r="I54" s="10" t="s">
        <v>180</v>
      </c>
      <c r="J54" s="10" t="s">
        <v>173</v>
      </c>
      <c r="K54" s="10" t="s">
        <v>211</v>
      </c>
      <c r="L54" s="10"/>
    </row>
    <row r="55" spans="2:12">
      <c r="B55" s="11" t="str">
        <f t="shared" si="0"/>
        <v>2</v>
      </c>
      <c r="C55" s="12" t="str">
        <f t="shared" si="1"/>
        <v>1</v>
      </c>
      <c r="D55" s="12" t="str">
        <f t="shared" ca="1" si="4"/>
        <v>4</v>
      </c>
      <c r="E55" s="13" t="str">
        <f t="shared" ca="1" si="5"/>
        <v>0</v>
      </c>
      <c r="F55" s="18" t="s">
        <v>215</v>
      </c>
      <c r="G55" s="15" t="s">
        <v>43</v>
      </c>
      <c r="H55" s="10" t="s">
        <v>49</v>
      </c>
      <c r="I55" s="10" t="s">
        <v>180</v>
      </c>
      <c r="J55" s="10" t="s">
        <v>173</v>
      </c>
      <c r="K55" s="10" t="s">
        <v>211</v>
      </c>
      <c r="L55" s="10"/>
    </row>
    <row r="56" spans="2:12">
      <c r="B56" s="11" t="str">
        <f t="shared" si="0"/>
        <v>2</v>
      </c>
      <c r="C56" s="12" t="str">
        <f t="shared" si="1"/>
        <v>2</v>
      </c>
      <c r="D56" s="12" t="str">
        <f t="shared" ca="1" si="4"/>
        <v>0</v>
      </c>
      <c r="E56" s="13" t="str">
        <f t="shared" ca="1" si="5"/>
        <v>0</v>
      </c>
      <c r="F56" s="18" t="s">
        <v>259</v>
      </c>
      <c r="G56" s="15" t="s">
        <v>1157</v>
      </c>
      <c r="H56" s="10" t="s">
        <v>49</v>
      </c>
      <c r="I56" s="10" t="s">
        <v>185</v>
      </c>
      <c r="J56" s="10" t="s">
        <v>211</v>
      </c>
      <c r="K56" s="10" t="s">
        <v>211</v>
      </c>
      <c r="L56" s="10"/>
    </row>
    <row r="57" spans="2:12">
      <c r="B57" s="11" t="str">
        <f t="shared" si="0"/>
        <v>2</v>
      </c>
      <c r="C57" s="12" t="str">
        <f t="shared" si="1"/>
        <v>2</v>
      </c>
      <c r="D57" s="12" t="str">
        <f t="shared" ca="1" si="4"/>
        <v>2</v>
      </c>
      <c r="E57" s="13" t="str">
        <f t="shared" ca="1" si="5"/>
        <v>0</v>
      </c>
      <c r="F57" s="18" t="s">
        <v>219</v>
      </c>
      <c r="G57" s="15" t="s">
        <v>134</v>
      </c>
      <c r="H57" s="10" t="s">
        <v>49</v>
      </c>
      <c r="I57" s="10" t="s">
        <v>185</v>
      </c>
      <c r="J57" s="10" t="s">
        <v>1152</v>
      </c>
      <c r="K57" s="10" t="s">
        <v>211</v>
      </c>
      <c r="L57" s="10"/>
    </row>
    <row r="58" spans="2:12">
      <c r="B58" s="11" t="str">
        <f t="shared" si="0"/>
        <v>2</v>
      </c>
      <c r="C58" s="12" t="str">
        <f t="shared" si="1"/>
        <v>2</v>
      </c>
      <c r="D58" s="12" t="str">
        <f t="shared" ca="1" si="4"/>
        <v>3</v>
      </c>
      <c r="E58" s="13" t="str">
        <f t="shared" ca="1" si="5"/>
        <v>0</v>
      </c>
      <c r="F58" s="18" t="s">
        <v>219</v>
      </c>
      <c r="G58" s="15" t="s">
        <v>135</v>
      </c>
      <c r="H58" s="10" t="s">
        <v>49</v>
      </c>
      <c r="I58" s="10" t="s">
        <v>185</v>
      </c>
      <c r="J58" s="10" t="s">
        <v>1153</v>
      </c>
      <c r="K58" s="10" t="s">
        <v>211</v>
      </c>
      <c r="L58" s="10"/>
    </row>
    <row r="59" spans="2:12">
      <c r="B59" s="11" t="str">
        <f t="shared" si="0"/>
        <v>2</v>
      </c>
      <c r="C59" s="12" t="str">
        <f t="shared" si="1"/>
        <v>2</v>
      </c>
      <c r="D59" s="12" t="str">
        <f t="shared" ca="1" si="4"/>
        <v>0</v>
      </c>
      <c r="E59" s="13" t="str">
        <f t="shared" ca="1" si="5"/>
        <v>1</v>
      </c>
      <c r="F59" s="18" t="s">
        <v>219</v>
      </c>
      <c r="G59" s="15" t="s">
        <v>406</v>
      </c>
      <c r="H59" s="10" t="s">
        <v>49</v>
      </c>
      <c r="I59" s="10" t="s">
        <v>185</v>
      </c>
      <c r="J59" s="10" t="s">
        <v>211</v>
      </c>
      <c r="K59" s="10" t="s">
        <v>1155</v>
      </c>
      <c r="L59" s="10"/>
    </row>
    <row r="60" spans="2:12">
      <c r="B60" s="11" t="str">
        <f t="shared" si="0"/>
        <v>2</v>
      </c>
      <c r="C60" s="12" t="str">
        <f t="shared" si="1"/>
        <v>2</v>
      </c>
      <c r="D60" s="12" t="str">
        <f t="shared" ca="1" si="4"/>
        <v>0</v>
      </c>
      <c r="E60" s="13" t="str">
        <f t="shared" ca="1" si="5"/>
        <v>2</v>
      </c>
      <c r="F60" s="18" t="s">
        <v>219</v>
      </c>
      <c r="G60" s="15" t="s">
        <v>442</v>
      </c>
      <c r="H60" s="10" t="s">
        <v>49</v>
      </c>
      <c r="I60" s="10" t="s">
        <v>185</v>
      </c>
      <c r="J60" s="10" t="s">
        <v>211</v>
      </c>
      <c r="K60" s="10" t="s">
        <v>169</v>
      </c>
      <c r="L60" s="10"/>
    </row>
    <row r="61" spans="2:12">
      <c r="B61" s="11" t="str">
        <f t="shared" si="0"/>
        <v>3</v>
      </c>
      <c r="C61" s="12" t="str">
        <f t="shared" si="1"/>
        <v>0</v>
      </c>
      <c r="D61" s="12" t="str">
        <f t="shared" ca="1" si="4"/>
        <v>0</v>
      </c>
      <c r="E61" s="13" t="str">
        <f t="shared" ca="1" si="5"/>
        <v>0</v>
      </c>
      <c r="F61" s="18" t="s">
        <v>259</v>
      </c>
      <c r="G61" s="15"/>
      <c r="H61" s="10" t="s">
        <v>52</v>
      </c>
      <c r="I61" s="10" t="s">
        <v>162</v>
      </c>
      <c r="J61" s="10" t="s">
        <v>211</v>
      </c>
      <c r="K61" s="10" t="s">
        <v>211</v>
      </c>
      <c r="L61" s="10"/>
    </row>
    <row r="62" spans="2:12">
      <c r="B62" s="11" t="str">
        <f t="shared" si="0"/>
        <v>3</v>
      </c>
      <c r="C62" s="12" t="str">
        <f t="shared" si="1"/>
        <v>0</v>
      </c>
      <c r="D62" s="12" t="str">
        <f t="shared" ca="1" si="4"/>
        <v>0</v>
      </c>
      <c r="E62" s="13" t="str">
        <f t="shared" ca="1" si="5"/>
        <v>0</v>
      </c>
      <c r="F62" s="18" t="s">
        <v>259</v>
      </c>
      <c r="G62" s="15" t="s">
        <v>265</v>
      </c>
      <c r="H62" s="10" t="s">
        <v>52</v>
      </c>
      <c r="I62" s="10" t="s">
        <v>162</v>
      </c>
      <c r="J62" s="10" t="s">
        <v>211</v>
      </c>
      <c r="K62" s="10" t="s">
        <v>211</v>
      </c>
      <c r="L62" s="10"/>
    </row>
    <row r="63" spans="2:12">
      <c r="B63" s="11" t="str">
        <f t="shared" si="0"/>
        <v>3</v>
      </c>
      <c r="C63" s="12" t="str">
        <f t="shared" si="1"/>
        <v>0</v>
      </c>
      <c r="D63" s="12" t="str">
        <f t="shared" ca="1" si="4"/>
        <v>0</v>
      </c>
      <c r="E63" s="13" t="str">
        <f t="shared" ca="1" si="5"/>
        <v>0</v>
      </c>
      <c r="F63" s="18" t="s">
        <v>219</v>
      </c>
      <c r="G63" s="14" t="s">
        <v>803</v>
      </c>
      <c r="H63" s="10" t="s">
        <v>52</v>
      </c>
      <c r="I63" s="10" t="s">
        <v>162</v>
      </c>
      <c r="J63" s="10" t="s">
        <v>211</v>
      </c>
      <c r="K63" s="10" t="s">
        <v>211</v>
      </c>
      <c r="L63" s="10"/>
    </row>
    <row r="64" spans="2:12">
      <c r="B64" s="11" t="str">
        <f t="shared" si="0"/>
        <v>3</v>
      </c>
      <c r="C64" s="12" t="str">
        <f t="shared" si="1"/>
        <v>1</v>
      </c>
      <c r="D64" s="12" t="str">
        <f t="shared" ca="1" si="4"/>
        <v>1</v>
      </c>
      <c r="E64" s="13" t="str">
        <f t="shared" ca="1" si="5"/>
        <v>0</v>
      </c>
      <c r="F64" s="18" t="s">
        <v>219</v>
      </c>
      <c r="G64" s="15" t="s">
        <v>802</v>
      </c>
      <c r="H64" s="10" t="s">
        <v>52</v>
      </c>
      <c r="I64" s="10" t="s">
        <v>180</v>
      </c>
      <c r="J64" s="10" t="s">
        <v>53</v>
      </c>
      <c r="K64" s="10" t="s">
        <v>211</v>
      </c>
      <c r="L64" s="10"/>
    </row>
    <row r="65" spans="2:12">
      <c r="B65" s="11" t="str">
        <f t="shared" si="0"/>
        <v>3</v>
      </c>
      <c r="C65" s="12" t="str">
        <f t="shared" si="1"/>
        <v>1</v>
      </c>
      <c r="D65" s="12" t="str">
        <f t="shared" ca="1" si="4"/>
        <v>1</v>
      </c>
      <c r="E65" s="13" t="str">
        <f t="shared" ca="1" si="5"/>
        <v>0</v>
      </c>
      <c r="F65" s="18" t="s">
        <v>215</v>
      </c>
      <c r="G65" s="15" t="s">
        <v>19</v>
      </c>
      <c r="H65" s="10" t="s">
        <v>52</v>
      </c>
      <c r="I65" s="10" t="s">
        <v>180</v>
      </c>
      <c r="J65" s="10" t="s">
        <v>53</v>
      </c>
      <c r="K65" s="10" t="s">
        <v>211</v>
      </c>
      <c r="L65" s="10"/>
    </row>
    <row r="66" spans="2:12">
      <c r="B66" s="11" t="str">
        <f t="shared" si="0"/>
        <v>3</v>
      </c>
      <c r="C66" s="12" t="str">
        <f t="shared" si="1"/>
        <v>1</v>
      </c>
      <c r="D66" s="12" t="str">
        <f t="shared" ca="1" si="4"/>
        <v>2</v>
      </c>
      <c r="E66" s="13" t="str">
        <f t="shared" ca="1" si="5"/>
        <v>0</v>
      </c>
      <c r="F66" s="18" t="s">
        <v>219</v>
      </c>
      <c r="G66" s="15" t="s">
        <v>800</v>
      </c>
      <c r="H66" s="10" t="s">
        <v>52</v>
      </c>
      <c r="I66" s="10" t="s">
        <v>180</v>
      </c>
      <c r="J66" s="10" t="s">
        <v>54</v>
      </c>
      <c r="K66" s="10" t="s">
        <v>211</v>
      </c>
      <c r="L66" s="10"/>
    </row>
    <row r="67" spans="2:12">
      <c r="B67" s="11" t="str">
        <f t="shared" si="0"/>
        <v>3</v>
      </c>
      <c r="C67" s="12" t="str">
        <f t="shared" si="1"/>
        <v>1</v>
      </c>
      <c r="D67" s="12" t="str">
        <f t="shared" ca="1" si="4"/>
        <v>2</v>
      </c>
      <c r="E67" s="13" t="str">
        <f t="shared" ca="1" si="5"/>
        <v>0</v>
      </c>
      <c r="F67" s="18" t="s">
        <v>215</v>
      </c>
      <c r="G67" s="15" t="s">
        <v>20</v>
      </c>
      <c r="H67" s="10" t="s">
        <v>52</v>
      </c>
      <c r="I67" s="10" t="s">
        <v>180</v>
      </c>
      <c r="J67" s="10" t="s">
        <v>54</v>
      </c>
      <c r="K67" s="10" t="s">
        <v>211</v>
      </c>
      <c r="L67" s="10"/>
    </row>
    <row r="68" spans="2:12">
      <c r="B68" s="11" t="str">
        <f t="shared" si="0"/>
        <v>3</v>
      </c>
      <c r="C68" s="12" t="str">
        <f t="shared" si="1"/>
        <v>1</v>
      </c>
      <c r="D68" s="12" t="str">
        <f t="shared" ca="1" si="4"/>
        <v>2</v>
      </c>
      <c r="E68" s="13" t="str">
        <f t="shared" ca="1" si="5"/>
        <v>0</v>
      </c>
      <c r="F68" s="18" t="s">
        <v>215</v>
      </c>
      <c r="G68" s="15" t="s">
        <v>21</v>
      </c>
      <c r="H68" s="10" t="s">
        <v>52</v>
      </c>
      <c r="I68" s="10" t="s">
        <v>180</v>
      </c>
      <c r="J68" s="10" t="s">
        <v>54</v>
      </c>
      <c r="K68" s="10" t="s">
        <v>211</v>
      </c>
      <c r="L68" s="10"/>
    </row>
    <row r="69" spans="2:12">
      <c r="B69" s="11" t="str">
        <f t="shared" si="0"/>
        <v>3</v>
      </c>
      <c r="C69" s="12" t="str">
        <f t="shared" si="1"/>
        <v>1</v>
      </c>
      <c r="D69" s="12" t="str">
        <f t="shared" ca="1" si="4"/>
        <v>2</v>
      </c>
      <c r="E69" s="13" t="str">
        <f t="shared" ca="1" si="5"/>
        <v>0</v>
      </c>
      <c r="F69" s="18" t="s">
        <v>215</v>
      </c>
      <c r="G69" s="15" t="s">
        <v>22</v>
      </c>
      <c r="H69" s="10" t="s">
        <v>52</v>
      </c>
      <c r="I69" s="10" t="s">
        <v>180</v>
      </c>
      <c r="J69" s="10" t="s">
        <v>54</v>
      </c>
      <c r="K69" s="10" t="s">
        <v>211</v>
      </c>
      <c r="L69" s="10"/>
    </row>
    <row r="70" spans="2:12">
      <c r="B70" s="11" t="str">
        <f t="shared" si="0"/>
        <v>3</v>
      </c>
      <c r="C70" s="12" t="str">
        <f t="shared" si="1"/>
        <v>1</v>
      </c>
      <c r="D70" s="12" t="str">
        <f t="shared" ca="1" si="4"/>
        <v>2</v>
      </c>
      <c r="E70" s="13" t="str">
        <f t="shared" ca="1" si="5"/>
        <v>0</v>
      </c>
      <c r="F70" s="18" t="s">
        <v>215</v>
      </c>
      <c r="G70" s="15" t="s">
        <v>23</v>
      </c>
      <c r="H70" s="10" t="s">
        <v>52</v>
      </c>
      <c r="I70" s="10" t="s">
        <v>180</v>
      </c>
      <c r="J70" s="10" t="s">
        <v>54</v>
      </c>
      <c r="K70" s="10" t="s">
        <v>211</v>
      </c>
      <c r="L70" s="10"/>
    </row>
    <row r="71" spans="2:12">
      <c r="B71" s="11" t="str">
        <f t="shared" si="0"/>
        <v>3</v>
      </c>
      <c r="C71" s="12" t="str">
        <f t="shared" si="1"/>
        <v>1</v>
      </c>
      <c r="D71" s="12" t="str">
        <f t="shared" ca="1" si="4"/>
        <v>2</v>
      </c>
      <c r="E71" s="13" t="str">
        <f t="shared" ca="1" si="5"/>
        <v>0</v>
      </c>
      <c r="F71" s="18" t="s">
        <v>215</v>
      </c>
      <c r="G71" s="15" t="s">
        <v>24</v>
      </c>
      <c r="H71" s="10" t="s">
        <v>52</v>
      </c>
      <c r="I71" s="10" t="s">
        <v>180</v>
      </c>
      <c r="J71" s="10" t="s">
        <v>54</v>
      </c>
      <c r="K71" s="10" t="s">
        <v>211</v>
      </c>
      <c r="L71" s="10"/>
    </row>
    <row r="72" spans="2:12">
      <c r="B72" s="11" t="str">
        <f t="shared" si="0"/>
        <v>3</v>
      </c>
      <c r="C72" s="12" t="str">
        <f t="shared" si="1"/>
        <v>1</v>
      </c>
      <c r="D72" s="12" t="str">
        <f t="shared" ca="1" si="4"/>
        <v>2</v>
      </c>
      <c r="E72" s="13" t="str">
        <f t="shared" ca="1" si="5"/>
        <v>0</v>
      </c>
      <c r="F72" s="18" t="s">
        <v>215</v>
      </c>
      <c r="G72" s="15" t="s">
        <v>25</v>
      </c>
      <c r="H72" s="10" t="s">
        <v>52</v>
      </c>
      <c r="I72" s="10" t="s">
        <v>180</v>
      </c>
      <c r="J72" s="10" t="s">
        <v>54</v>
      </c>
      <c r="K72" s="10" t="s">
        <v>211</v>
      </c>
      <c r="L72" s="10"/>
    </row>
    <row r="73" spans="2:12">
      <c r="B73" s="11" t="str">
        <f t="shared" si="0"/>
        <v>3</v>
      </c>
      <c r="C73" s="12" t="str">
        <f t="shared" si="1"/>
        <v>1</v>
      </c>
      <c r="D73" s="12" t="str">
        <f t="shared" ca="1" si="4"/>
        <v>3</v>
      </c>
      <c r="E73" s="13" t="str">
        <f t="shared" ca="1" si="5"/>
        <v>0</v>
      </c>
      <c r="F73" s="18" t="s">
        <v>219</v>
      </c>
      <c r="G73" s="15" t="s">
        <v>163</v>
      </c>
      <c r="H73" s="10" t="s">
        <v>52</v>
      </c>
      <c r="I73" s="10" t="s">
        <v>180</v>
      </c>
      <c r="J73" s="10" t="s">
        <v>55</v>
      </c>
      <c r="K73" s="10" t="s">
        <v>211</v>
      </c>
      <c r="L73" s="10"/>
    </row>
    <row r="74" spans="2:12">
      <c r="B74" s="11" t="str">
        <f t="shared" si="0"/>
        <v>3</v>
      </c>
      <c r="C74" s="12" t="str">
        <f t="shared" si="1"/>
        <v>1</v>
      </c>
      <c r="D74" s="12" t="str">
        <f t="shared" ca="1" si="4"/>
        <v>3</v>
      </c>
      <c r="E74" s="13" t="str">
        <f t="shared" ca="1" si="5"/>
        <v>0</v>
      </c>
      <c r="F74" s="18" t="s">
        <v>215</v>
      </c>
      <c r="G74" s="15" t="s">
        <v>31</v>
      </c>
      <c r="H74" s="10" t="s">
        <v>52</v>
      </c>
      <c r="I74" s="10" t="s">
        <v>180</v>
      </c>
      <c r="J74" s="10" t="s">
        <v>55</v>
      </c>
      <c r="K74" s="10" t="s">
        <v>211</v>
      </c>
      <c r="L74" s="10"/>
    </row>
    <row r="75" spans="2:12">
      <c r="B75" s="11" t="str">
        <f t="shared" si="0"/>
        <v>3</v>
      </c>
      <c r="C75" s="12" t="str">
        <f t="shared" si="1"/>
        <v>1</v>
      </c>
      <c r="D75" s="12" t="str">
        <f t="shared" ca="1" si="4"/>
        <v>3</v>
      </c>
      <c r="E75" s="13" t="str">
        <f t="shared" ca="1" si="5"/>
        <v>0</v>
      </c>
      <c r="F75" s="18" t="s">
        <v>215</v>
      </c>
      <c r="G75" s="15" t="s">
        <v>32</v>
      </c>
      <c r="H75" s="10" t="s">
        <v>52</v>
      </c>
      <c r="I75" s="10" t="s">
        <v>180</v>
      </c>
      <c r="J75" s="10" t="s">
        <v>55</v>
      </c>
      <c r="K75" s="10" t="s">
        <v>211</v>
      </c>
      <c r="L75" s="10"/>
    </row>
    <row r="76" spans="2:12">
      <c r="B76" s="11" t="str">
        <f t="shared" si="0"/>
        <v>3</v>
      </c>
      <c r="C76" s="12" t="str">
        <f t="shared" si="1"/>
        <v>1</v>
      </c>
      <c r="D76" s="12" t="str">
        <f t="shared" ca="1" si="4"/>
        <v>3</v>
      </c>
      <c r="E76" s="13" t="str">
        <f t="shared" ca="1" si="5"/>
        <v>0</v>
      </c>
      <c r="F76" s="18" t="s">
        <v>215</v>
      </c>
      <c r="G76" s="15" t="s">
        <v>33</v>
      </c>
      <c r="H76" s="10" t="s">
        <v>52</v>
      </c>
      <c r="I76" s="10" t="s">
        <v>180</v>
      </c>
      <c r="J76" s="10" t="s">
        <v>55</v>
      </c>
      <c r="K76" s="10" t="s">
        <v>211</v>
      </c>
      <c r="L76" s="10"/>
    </row>
    <row r="77" spans="2:12">
      <c r="B77" s="11" t="str">
        <f t="shared" si="0"/>
        <v>3</v>
      </c>
      <c r="C77" s="12" t="str">
        <f t="shared" si="1"/>
        <v>1</v>
      </c>
      <c r="D77" s="12" t="str">
        <f t="shared" ca="1" si="4"/>
        <v>3</v>
      </c>
      <c r="E77" s="13" t="str">
        <f t="shared" ca="1" si="5"/>
        <v>0</v>
      </c>
      <c r="F77" s="18" t="s">
        <v>215</v>
      </c>
      <c r="G77" s="15" t="s">
        <v>34</v>
      </c>
      <c r="H77" s="10" t="s">
        <v>52</v>
      </c>
      <c r="I77" s="10" t="s">
        <v>180</v>
      </c>
      <c r="J77" s="10" t="s">
        <v>55</v>
      </c>
      <c r="K77" s="10" t="s">
        <v>211</v>
      </c>
      <c r="L77" s="10"/>
    </row>
    <row r="78" spans="2:12">
      <c r="B78" s="11" t="str">
        <f t="shared" si="0"/>
        <v>3</v>
      </c>
      <c r="C78" s="12" t="str">
        <f t="shared" si="1"/>
        <v>1</v>
      </c>
      <c r="D78" s="12" t="str">
        <f t="shared" ca="1" si="4"/>
        <v>3</v>
      </c>
      <c r="E78" s="13" t="str">
        <f t="shared" ca="1" si="5"/>
        <v>0</v>
      </c>
      <c r="F78" s="18" t="s">
        <v>215</v>
      </c>
      <c r="G78" s="15" t="s">
        <v>35</v>
      </c>
      <c r="H78" s="10" t="s">
        <v>52</v>
      </c>
      <c r="I78" s="10" t="s">
        <v>180</v>
      </c>
      <c r="J78" s="10" t="s">
        <v>55</v>
      </c>
      <c r="K78" s="10" t="s">
        <v>211</v>
      </c>
      <c r="L78" s="10"/>
    </row>
    <row r="79" spans="2:12">
      <c r="B79" s="11" t="str">
        <f t="shared" si="0"/>
        <v>3</v>
      </c>
      <c r="C79" s="12" t="str">
        <f t="shared" si="1"/>
        <v>1</v>
      </c>
      <c r="D79" s="12" t="str">
        <f t="shared" ca="1" si="4"/>
        <v>3</v>
      </c>
      <c r="E79" s="13" t="str">
        <f t="shared" ca="1" si="5"/>
        <v>0</v>
      </c>
      <c r="F79" s="18" t="s">
        <v>215</v>
      </c>
      <c r="G79" s="15" t="s">
        <v>36</v>
      </c>
      <c r="H79" s="10" t="s">
        <v>52</v>
      </c>
      <c r="I79" s="10" t="s">
        <v>180</v>
      </c>
      <c r="J79" s="10" t="s">
        <v>55</v>
      </c>
      <c r="K79" s="10" t="s">
        <v>211</v>
      </c>
      <c r="L79" s="10"/>
    </row>
    <row r="80" spans="2:12">
      <c r="B80" s="11" t="str">
        <f t="shared" si="0"/>
        <v>4</v>
      </c>
      <c r="C80" s="12" t="str">
        <f t="shared" si="1"/>
        <v>0</v>
      </c>
      <c r="D80" s="12" t="str">
        <f t="shared" ca="1" si="4"/>
        <v>0</v>
      </c>
      <c r="E80" s="13" t="str">
        <f t="shared" ca="1" si="5"/>
        <v>0</v>
      </c>
      <c r="F80" s="18" t="s">
        <v>259</v>
      </c>
      <c r="G80" s="15"/>
      <c r="H80" s="10" t="s">
        <v>56</v>
      </c>
      <c r="I80" s="10" t="s">
        <v>162</v>
      </c>
      <c r="J80" s="10" t="s">
        <v>211</v>
      </c>
      <c r="K80" s="10" t="s">
        <v>211</v>
      </c>
      <c r="L80" s="10"/>
    </row>
    <row r="81" spans="2:12">
      <c r="B81" s="11" t="str">
        <f t="shared" si="0"/>
        <v>4</v>
      </c>
      <c r="C81" s="12" t="str">
        <f t="shared" si="1"/>
        <v>0</v>
      </c>
      <c r="D81" s="12" t="str">
        <f t="shared" ca="1" si="4"/>
        <v>0</v>
      </c>
      <c r="E81" s="13" t="str">
        <f t="shared" ca="1" si="5"/>
        <v>0</v>
      </c>
      <c r="F81" s="18" t="s">
        <v>259</v>
      </c>
      <c r="G81" s="15" t="s">
        <v>264</v>
      </c>
      <c r="H81" s="10" t="s">
        <v>56</v>
      </c>
      <c r="I81" s="10" t="s">
        <v>162</v>
      </c>
      <c r="J81" s="10" t="s">
        <v>211</v>
      </c>
      <c r="K81" s="10" t="s">
        <v>211</v>
      </c>
      <c r="L81" s="10"/>
    </row>
    <row r="82" spans="2:12">
      <c r="B82" s="11" t="str">
        <f t="shared" ref="B82:B137" si="6">IFERROR(DEC2HEX(MATCH($H82,Mainリスト,FALSE)-1,1),"")</f>
        <v>4</v>
      </c>
      <c r="C82" s="12" t="str">
        <f t="shared" ref="C82:C137" si="7">IFERROR(DEC2HEX(MATCH($I82,Typeリスト,FALSE)-1,1),"")</f>
        <v>0</v>
      </c>
      <c r="D82" s="12" t="str">
        <f t="shared" ca="1" si="4"/>
        <v>0</v>
      </c>
      <c r="E82" s="13" t="str">
        <f t="shared" ca="1" si="5"/>
        <v>0</v>
      </c>
      <c r="F82" s="18" t="s">
        <v>219</v>
      </c>
      <c r="G82" s="14" t="s">
        <v>798</v>
      </c>
      <c r="H82" s="10" t="s">
        <v>56</v>
      </c>
      <c r="I82" s="10" t="s">
        <v>162</v>
      </c>
      <c r="J82" s="10" t="s">
        <v>211</v>
      </c>
      <c r="K82" s="10" t="s">
        <v>211</v>
      </c>
      <c r="L82" s="10" t="s">
        <v>218</v>
      </c>
    </row>
    <row r="83" spans="2:12">
      <c r="B83" s="11" t="str">
        <f t="shared" si="6"/>
        <v>4</v>
      </c>
      <c r="C83" s="12" t="str">
        <f t="shared" si="7"/>
        <v>1</v>
      </c>
      <c r="D83" s="12" t="str">
        <f t="shared" ref="D83:D138" ca="1" si="8">IFERROR(DEC2HEX(MATCH($J83,INDIRECT($H83&amp;$I83&amp;"Sub1"&amp;"リスト"),FALSE)-1,1),"")</f>
        <v>1</v>
      </c>
      <c r="E83" s="13" t="str">
        <f ca="1">IFERROR(DEC2HEX(MATCH($K83,INDIRECT($H83&amp;$I83&amp;"Sub2"&amp;"リスト"),FALSE)-1,1),"")</f>
        <v>0</v>
      </c>
      <c r="F83" s="18" t="s">
        <v>219</v>
      </c>
      <c r="G83" s="15" t="s">
        <v>797</v>
      </c>
      <c r="H83" s="10" t="s">
        <v>56</v>
      </c>
      <c r="I83" s="10" t="s">
        <v>180</v>
      </c>
      <c r="J83" s="10" t="s">
        <v>57</v>
      </c>
      <c r="K83" s="10" t="s">
        <v>211</v>
      </c>
      <c r="L83" s="10" t="s">
        <v>218</v>
      </c>
    </row>
    <row r="84" spans="2:12">
      <c r="B84" s="11" t="str">
        <f t="shared" si="6"/>
        <v>4</v>
      </c>
      <c r="C84" s="12" t="str">
        <f t="shared" si="7"/>
        <v>1</v>
      </c>
      <c r="D84" s="12" t="str">
        <f t="shared" ca="1" si="8"/>
        <v>1</v>
      </c>
      <c r="E84" s="13" t="str">
        <f t="shared" ref="E84:E138" ca="1" si="9">IFERROR(DEC2HEX(MATCH($K84,INDIRECT($H84&amp;$I84&amp;"Sub2"&amp;"リスト"),FALSE)-1,1),"")</f>
        <v>0</v>
      </c>
      <c r="F84" s="18" t="s">
        <v>222</v>
      </c>
      <c r="G84" s="15" t="s">
        <v>220</v>
      </c>
      <c r="H84" s="10" t="s">
        <v>56</v>
      </c>
      <c r="I84" s="10" t="s">
        <v>180</v>
      </c>
      <c r="J84" s="10" t="s">
        <v>57</v>
      </c>
      <c r="K84" s="10" t="s">
        <v>211</v>
      </c>
      <c r="L84" s="10"/>
    </row>
    <row r="85" spans="2:12">
      <c r="B85" s="11" t="str">
        <f t="shared" si="6"/>
        <v>4</v>
      </c>
      <c r="C85" s="12" t="str">
        <f t="shared" si="7"/>
        <v>1</v>
      </c>
      <c r="D85" s="12" t="str">
        <f t="shared" ca="1" si="8"/>
        <v>2</v>
      </c>
      <c r="E85" s="13" t="str">
        <f t="shared" ca="1" si="9"/>
        <v>0</v>
      </c>
      <c r="F85" s="18" t="s">
        <v>219</v>
      </c>
      <c r="G85" s="15" t="s">
        <v>795</v>
      </c>
      <c r="H85" s="10" t="s">
        <v>56</v>
      </c>
      <c r="I85" s="10" t="s">
        <v>180</v>
      </c>
      <c r="J85" s="10" t="s">
        <v>169</v>
      </c>
      <c r="K85" s="10" t="s">
        <v>211</v>
      </c>
      <c r="L85" s="10" t="s">
        <v>218</v>
      </c>
    </row>
    <row r="86" spans="2:12">
      <c r="B86" s="11" t="str">
        <f t="shared" si="6"/>
        <v>4</v>
      </c>
      <c r="C86" s="12" t="str">
        <f t="shared" si="7"/>
        <v>1</v>
      </c>
      <c r="D86" s="12" t="str">
        <f t="shared" ca="1" si="8"/>
        <v>2</v>
      </c>
      <c r="E86" s="13" t="str">
        <f t="shared" ca="1" si="9"/>
        <v>0</v>
      </c>
      <c r="F86" s="18" t="s">
        <v>222</v>
      </c>
      <c r="G86" s="15" t="s">
        <v>221</v>
      </c>
      <c r="H86" s="10" t="s">
        <v>56</v>
      </c>
      <c r="I86" s="10" t="s">
        <v>180</v>
      </c>
      <c r="J86" s="10" t="s">
        <v>169</v>
      </c>
      <c r="K86" s="10" t="s">
        <v>211</v>
      </c>
      <c r="L86" s="10"/>
    </row>
    <row r="87" spans="2:12">
      <c r="B87" s="11" t="str">
        <f t="shared" si="6"/>
        <v>4</v>
      </c>
      <c r="C87" s="12" t="str">
        <f t="shared" si="7"/>
        <v>1</v>
      </c>
      <c r="D87" s="12" t="str">
        <f t="shared" ca="1" si="8"/>
        <v>3</v>
      </c>
      <c r="E87" s="13" t="str">
        <f t="shared" ca="1" si="9"/>
        <v>0</v>
      </c>
      <c r="F87" s="18" t="s">
        <v>219</v>
      </c>
      <c r="G87" s="15" t="s">
        <v>793</v>
      </c>
      <c r="H87" s="10" t="s">
        <v>56</v>
      </c>
      <c r="I87" s="10" t="s">
        <v>180</v>
      </c>
      <c r="J87" s="10" t="s">
        <v>58</v>
      </c>
      <c r="K87" s="10" t="s">
        <v>211</v>
      </c>
      <c r="L87" s="10" t="s">
        <v>216</v>
      </c>
    </row>
    <row r="88" spans="2:12">
      <c r="B88" s="11" t="str">
        <f t="shared" si="6"/>
        <v>4</v>
      </c>
      <c r="C88" s="12" t="str">
        <f t="shared" si="7"/>
        <v>1</v>
      </c>
      <c r="D88" s="12" t="str">
        <f t="shared" ca="1" si="8"/>
        <v>3</v>
      </c>
      <c r="E88" s="13" t="str">
        <f t="shared" ca="1" si="9"/>
        <v>0</v>
      </c>
      <c r="F88" s="18" t="s">
        <v>215</v>
      </c>
      <c r="G88" s="15" t="s">
        <v>78</v>
      </c>
      <c r="H88" s="10" t="s">
        <v>56</v>
      </c>
      <c r="I88" s="10" t="s">
        <v>180</v>
      </c>
      <c r="J88" s="10" t="s">
        <v>58</v>
      </c>
      <c r="K88" s="10" t="s">
        <v>211</v>
      </c>
      <c r="L88" s="10"/>
    </row>
    <row r="89" spans="2:12">
      <c r="B89" s="11" t="str">
        <f t="shared" si="6"/>
        <v>4</v>
      </c>
      <c r="C89" s="12" t="str">
        <f t="shared" si="7"/>
        <v>1</v>
      </c>
      <c r="D89" s="12" t="str">
        <f t="shared" ca="1" si="8"/>
        <v>3</v>
      </c>
      <c r="E89" s="13" t="str">
        <f t="shared" ca="1" si="9"/>
        <v>0</v>
      </c>
      <c r="F89" s="18" t="s">
        <v>215</v>
      </c>
      <c r="G89" s="15" t="s">
        <v>80</v>
      </c>
      <c r="H89" s="10" t="s">
        <v>56</v>
      </c>
      <c r="I89" s="10" t="s">
        <v>180</v>
      </c>
      <c r="J89" s="10" t="s">
        <v>58</v>
      </c>
      <c r="K89" s="10" t="s">
        <v>211</v>
      </c>
      <c r="L89" s="10"/>
    </row>
    <row r="90" spans="2:12">
      <c r="B90" s="11" t="str">
        <f t="shared" si="6"/>
        <v>4</v>
      </c>
      <c r="C90" s="12" t="str">
        <f t="shared" si="7"/>
        <v>1</v>
      </c>
      <c r="D90" s="12" t="str">
        <f t="shared" ca="1" si="8"/>
        <v>3</v>
      </c>
      <c r="E90" s="13" t="str">
        <f t="shared" ca="1" si="9"/>
        <v>0</v>
      </c>
      <c r="F90" s="18" t="s">
        <v>215</v>
      </c>
      <c r="G90" s="15" t="s">
        <v>81</v>
      </c>
      <c r="H90" s="10" t="s">
        <v>56</v>
      </c>
      <c r="I90" s="10" t="s">
        <v>180</v>
      </c>
      <c r="J90" s="10" t="s">
        <v>58</v>
      </c>
      <c r="K90" s="10" t="s">
        <v>211</v>
      </c>
      <c r="L90" s="10"/>
    </row>
    <row r="91" spans="2:12">
      <c r="B91" s="11" t="str">
        <f t="shared" si="6"/>
        <v>4</v>
      </c>
      <c r="C91" s="12" t="str">
        <f t="shared" si="7"/>
        <v>1</v>
      </c>
      <c r="D91" s="12" t="str">
        <f t="shared" ca="1" si="8"/>
        <v>3</v>
      </c>
      <c r="E91" s="13" t="str">
        <f t="shared" ca="1" si="9"/>
        <v>0</v>
      </c>
      <c r="F91" s="18" t="s">
        <v>215</v>
      </c>
      <c r="G91" s="15" t="s">
        <v>79</v>
      </c>
      <c r="H91" s="10" t="s">
        <v>56</v>
      </c>
      <c r="I91" s="10" t="s">
        <v>180</v>
      </c>
      <c r="J91" s="10" t="s">
        <v>58</v>
      </c>
      <c r="K91" s="10" t="s">
        <v>211</v>
      </c>
      <c r="L91" s="10"/>
    </row>
    <row r="92" spans="2:12">
      <c r="B92" s="11" t="str">
        <f t="shared" si="6"/>
        <v>4</v>
      </c>
      <c r="C92" s="12" t="str">
        <f t="shared" si="7"/>
        <v>1</v>
      </c>
      <c r="D92" s="12" t="str">
        <f t="shared" ca="1" si="8"/>
        <v>4</v>
      </c>
      <c r="E92" s="13" t="str">
        <f t="shared" ca="1" si="9"/>
        <v>0</v>
      </c>
      <c r="F92" s="18" t="s">
        <v>219</v>
      </c>
      <c r="G92" s="15" t="s">
        <v>164</v>
      </c>
      <c r="H92" s="10" t="s">
        <v>56</v>
      </c>
      <c r="I92" s="10" t="s">
        <v>180</v>
      </c>
      <c r="J92" s="10" t="s">
        <v>174</v>
      </c>
      <c r="K92" s="10" t="s">
        <v>211</v>
      </c>
      <c r="L92" s="10" t="s">
        <v>218</v>
      </c>
    </row>
    <row r="93" spans="2:12">
      <c r="B93" s="11" t="str">
        <f t="shared" si="6"/>
        <v>4</v>
      </c>
      <c r="C93" s="12" t="str">
        <f t="shared" si="7"/>
        <v>1</v>
      </c>
      <c r="D93" s="12" t="str">
        <f t="shared" ca="1" si="8"/>
        <v>4</v>
      </c>
      <c r="E93" s="13" t="str">
        <f t="shared" ca="1" si="9"/>
        <v>0</v>
      </c>
      <c r="F93" s="18" t="s">
        <v>222</v>
      </c>
      <c r="G93" s="15" t="s">
        <v>223</v>
      </c>
      <c r="H93" s="10" t="s">
        <v>56</v>
      </c>
      <c r="I93" s="10" t="s">
        <v>180</v>
      </c>
      <c r="J93" s="10" t="s">
        <v>174</v>
      </c>
      <c r="K93" s="10" t="s">
        <v>211</v>
      </c>
      <c r="L93" s="10"/>
    </row>
    <row r="94" spans="2:12">
      <c r="B94" s="11" t="str">
        <f t="shared" si="6"/>
        <v>4</v>
      </c>
      <c r="C94" s="12" t="str">
        <f t="shared" si="7"/>
        <v>1</v>
      </c>
      <c r="D94" s="12" t="str">
        <f t="shared" ca="1" si="8"/>
        <v>5</v>
      </c>
      <c r="E94" s="13" t="str">
        <f t="shared" ca="1" si="9"/>
        <v>0</v>
      </c>
      <c r="F94" s="18" t="s">
        <v>219</v>
      </c>
      <c r="G94" s="15" t="s">
        <v>165</v>
      </c>
      <c r="H94" s="10" t="s">
        <v>56</v>
      </c>
      <c r="I94" s="10" t="s">
        <v>180</v>
      </c>
      <c r="J94" s="10" t="s">
        <v>175</v>
      </c>
      <c r="K94" s="10" t="s">
        <v>211</v>
      </c>
      <c r="L94" s="10"/>
    </row>
    <row r="95" spans="2:12">
      <c r="B95" s="11" t="str">
        <f t="shared" si="6"/>
        <v>4</v>
      </c>
      <c r="C95" s="12" t="str">
        <f t="shared" si="7"/>
        <v>1</v>
      </c>
      <c r="D95" s="12" t="str">
        <f t="shared" ca="1" si="8"/>
        <v>5</v>
      </c>
      <c r="E95" s="13" t="str">
        <f t="shared" ca="1" si="9"/>
        <v>0</v>
      </c>
      <c r="F95" s="18" t="s">
        <v>215</v>
      </c>
      <c r="G95" s="15" t="s">
        <v>82</v>
      </c>
      <c r="H95" s="10" t="s">
        <v>56</v>
      </c>
      <c r="I95" s="10" t="s">
        <v>180</v>
      </c>
      <c r="J95" s="10" t="s">
        <v>175</v>
      </c>
      <c r="K95" s="10" t="s">
        <v>211</v>
      </c>
      <c r="L95" s="10"/>
    </row>
    <row r="96" spans="2:12">
      <c r="B96" s="11" t="str">
        <f t="shared" si="6"/>
        <v>4</v>
      </c>
      <c r="C96" s="12" t="str">
        <f t="shared" si="7"/>
        <v>1</v>
      </c>
      <c r="D96" s="12" t="str">
        <f t="shared" ca="1" si="8"/>
        <v>5</v>
      </c>
      <c r="E96" s="13" t="str">
        <f t="shared" ca="1" si="9"/>
        <v>0</v>
      </c>
      <c r="F96" s="18" t="s">
        <v>215</v>
      </c>
      <c r="G96" s="15" t="s">
        <v>84</v>
      </c>
      <c r="H96" s="10" t="s">
        <v>56</v>
      </c>
      <c r="I96" s="10" t="s">
        <v>180</v>
      </c>
      <c r="J96" s="10" t="s">
        <v>175</v>
      </c>
      <c r="K96" s="10" t="s">
        <v>211</v>
      </c>
      <c r="L96" s="10"/>
    </row>
    <row r="97" spans="2:12">
      <c r="B97" s="11" t="str">
        <f t="shared" si="6"/>
        <v>4</v>
      </c>
      <c r="C97" s="12" t="str">
        <f t="shared" si="7"/>
        <v>1</v>
      </c>
      <c r="D97" s="12" t="str">
        <f t="shared" ca="1" si="8"/>
        <v>5</v>
      </c>
      <c r="E97" s="13" t="str">
        <f t="shared" ca="1" si="9"/>
        <v>0</v>
      </c>
      <c r="F97" s="18" t="s">
        <v>215</v>
      </c>
      <c r="G97" s="15" t="s">
        <v>142</v>
      </c>
      <c r="H97" s="10" t="s">
        <v>56</v>
      </c>
      <c r="I97" s="10" t="s">
        <v>180</v>
      </c>
      <c r="J97" s="10" t="s">
        <v>175</v>
      </c>
      <c r="K97" s="10" t="s">
        <v>211</v>
      </c>
      <c r="L97" s="10"/>
    </row>
    <row r="98" spans="2:12">
      <c r="B98" s="11" t="str">
        <f t="shared" si="6"/>
        <v>4</v>
      </c>
      <c r="C98" s="12" t="str">
        <f t="shared" si="7"/>
        <v>1</v>
      </c>
      <c r="D98" s="12" t="str">
        <f t="shared" ca="1" si="8"/>
        <v>5</v>
      </c>
      <c r="E98" s="13" t="str">
        <f t="shared" ca="1" si="9"/>
        <v>0</v>
      </c>
      <c r="F98" s="18" t="s">
        <v>215</v>
      </c>
      <c r="G98" s="15" t="s">
        <v>83</v>
      </c>
      <c r="H98" s="10" t="s">
        <v>56</v>
      </c>
      <c r="I98" s="10" t="s">
        <v>180</v>
      </c>
      <c r="J98" s="10" t="s">
        <v>175</v>
      </c>
      <c r="K98" s="10" t="s">
        <v>211</v>
      </c>
      <c r="L98" s="10"/>
    </row>
    <row r="99" spans="2:12">
      <c r="B99" s="11" t="str">
        <f t="shared" si="6"/>
        <v>4</v>
      </c>
      <c r="C99" s="12" t="str">
        <f t="shared" si="7"/>
        <v>1</v>
      </c>
      <c r="D99" s="12" t="str">
        <f t="shared" ca="1" si="8"/>
        <v>5</v>
      </c>
      <c r="E99" s="13" t="str">
        <f t="shared" ca="1" si="9"/>
        <v>0</v>
      </c>
      <c r="F99" s="18" t="s">
        <v>215</v>
      </c>
      <c r="G99" s="15" t="s">
        <v>85</v>
      </c>
      <c r="H99" s="10" t="s">
        <v>56</v>
      </c>
      <c r="I99" s="10" t="s">
        <v>180</v>
      </c>
      <c r="J99" s="10" t="s">
        <v>175</v>
      </c>
      <c r="K99" s="10" t="s">
        <v>211</v>
      </c>
      <c r="L99" s="10"/>
    </row>
    <row r="100" spans="2:12">
      <c r="B100" s="11" t="str">
        <f t="shared" si="6"/>
        <v>4</v>
      </c>
      <c r="C100" s="12" t="str">
        <f t="shared" si="7"/>
        <v>1</v>
      </c>
      <c r="D100" s="12" t="str">
        <f t="shared" ca="1" si="8"/>
        <v>5</v>
      </c>
      <c r="E100" s="13" t="str">
        <f t="shared" ca="1" si="9"/>
        <v>0</v>
      </c>
      <c r="F100" s="18" t="s">
        <v>215</v>
      </c>
      <c r="G100" s="15" t="s">
        <v>143</v>
      </c>
      <c r="H100" s="10" t="s">
        <v>56</v>
      </c>
      <c r="I100" s="10" t="s">
        <v>180</v>
      </c>
      <c r="J100" s="10" t="s">
        <v>175</v>
      </c>
      <c r="K100" s="10" t="s">
        <v>211</v>
      </c>
      <c r="L100" s="10"/>
    </row>
    <row r="101" spans="2:12">
      <c r="B101" s="11" t="str">
        <f t="shared" si="6"/>
        <v>4</v>
      </c>
      <c r="C101" s="12" t="str">
        <f t="shared" si="7"/>
        <v>1</v>
      </c>
      <c r="D101" s="12" t="str">
        <f t="shared" ca="1" si="8"/>
        <v>5</v>
      </c>
      <c r="E101" s="13" t="str">
        <f t="shared" ca="1" si="9"/>
        <v>0</v>
      </c>
      <c r="F101" s="18" t="s">
        <v>215</v>
      </c>
      <c r="G101" s="15" t="s">
        <v>46</v>
      </c>
      <c r="H101" s="10" t="s">
        <v>56</v>
      </c>
      <c r="I101" s="10" t="s">
        <v>180</v>
      </c>
      <c r="J101" s="10" t="s">
        <v>175</v>
      </c>
      <c r="K101" s="10" t="s">
        <v>211</v>
      </c>
      <c r="L101" s="10"/>
    </row>
    <row r="102" spans="2:12">
      <c r="B102" s="11" t="str">
        <f t="shared" si="6"/>
        <v>4</v>
      </c>
      <c r="C102" s="12" t="str">
        <f t="shared" si="7"/>
        <v>1</v>
      </c>
      <c r="D102" s="12" t="str">
        <f t="shared" ca="1" si="8"/>
        <v>5</v>
      </c>
      <c r="E102" s="13" t="str">
        <f t="shared" ca="1" si="9"/>
        <v>0</v>
      </c>
      <c r="F102" s="18" t="s">
        <v>215</v>
      </c>
      <c r="G102" s="15" t="s">
        <v>44</v>
      </c>
      <c r="H102" s="10" t="s">
        <v>56</v>
      </c>
      <c r="I102" s="10" t="s">
        <v>180</v>
      </c>
      <c r="J102" s="10" t="s">
        <v>175</v>
      </c>
      <c r="K102" s="10" t="s">
        <v>211</v>
      </c>
      <c r="L102" s="10"/>
    </row>
    <row r="103" spans="2:12">
      <c r="B103" s="11" t="str">
        <f t="shared" si="6"/>
        <v>4</v>
      </c>
      <c r="C103" s="12" t="str">
        <f t="shared" si="7"/>
        <v>1</v>
      </c>
      <c r="D103" s="12" t="str">
        <f t="shared" ca="1" si="8"/>
        <v>5</v>
      </c>
      <c r="E103" s="13" t="str">
        <f t="shared" ca="1" si="9"/>
        <v>0</v>
      </c>
      <c r="F103" s="18" t="s">
        <v>215</v>
      </c>
      <c r="G103" s="15" t="s">
        <v>45</v>
      </c>
      <c r="H103" s="10" t="s">
        <v>56</v>
      </c>
      <c r="I103" s="10" t="s">
        <v>180</v>
      </c>
      <c r="J103" s="10" t="s">
        <v>175</v>
      </c>
      <c r="K103" s="10" t="s">
        <v>211</v>
      </c>
      <c r="L103" s="10"/>
    </row>
    <row r="104" spans="2:12">
      <c r="B104" s="11" t="str">
        <f t="shared" si="6"/>
        <v>4</v>
      </c>
      <c r="C104" s="12" t="str">
        <f t="shared" si="7"/>
        <v>1</v>
      </c>
      <c r="D104" s="12" t="str">
        <f t="shared" ca="1" si="8"/>
        <v>6</v>
      </c>
      <c r="E104" s="13" t="str">
        <f t="shared" ca="1" si="9"/>
        <v>0</v>
      </c>
      <c r="F104" s="18" t="s">
        <v>219</v>
      </c>
      <c r="G104" s="15" t="s">
        <v>1122</v>
      </c>
      <c r="H104" s="10" t="s">
        <v>56</v>
      </c>
      <c r="I104" s="10" t="s">
        <v>180</v>
      </c>
      <c r="J104" s="10" t="s">
        <v>176</v>
      </c>
      <c r="K104" s="10" t="s">
        <v>211</v>
      </c>
      <c r="L104" s="10" t="s">
        <v>218</v>
      </c>
    </row>
    <row r="105" spans="2:12">
      <c r="B105" s="11" t="str">
        <f t="shared" si="6"/>
        <v>4</v>
      </c>
      <c r="C105" s="12" t="str">
        <f t="shared" si="7"/>
        <v>1</v>
      </c>
      <c r="D105" s="12" t="str">
        <f t="shared" ca="1" si="8"/>
        <v>6</v>
      </c>
      <c r="E105" s="13" t="str">
        <f t="shared" ca="1" si="9"/>
        <v>0</v>
      </c>
      <c r="F105" s="18" t="s">
        <v>215</v>
      </c>
      <c r="G105" s="15" t="s">
        <v>86</v>
      </c>
      <c r="H105" s="10" t="s">
        <v>56</v>
      </c>
      <c r="I105" s="10" t="s">
        <v>180</v>
      </c>
      <c r="J105" s="10" t="s">
        <v>176</v>
      </c>
      <c r="K105" s="10" t="s">
        <v>211</v>
      </c>
      <c r="L105" s="10"/>
    </row>
    <row r="106" spans="2:12">
      <c r="B106" s="11" t="str">
        <f t="shared" si="6"/>
        <v>4</v>
      </c>
      <c r="C106" s="12" t="str">
        <f t="shared" si="7"/>
        <v>1</v>
      </c>
      <c r="D106" s="12" t="str">
        <f t="shared" ca="1" si="8"/>
        <v>6</v>
      </c>
      <c r="E106" s="13" t="str">
        <f t="shared" ca="1" si="9"/>
        <v>0</v>
      </c>
      <c r="F106" s="18" t="s">
        <v>215</v>
      </c>
      <c r="G106" s="15" t="s">
        <v>105</v>
      </c>
      <c r="H106" s="10" t="s">
        <v>56</v>
      </c>
      <c r="I106" s="10" t="s">
        <v>180</v>
      </c>
      <c r="J106" s="10" t="s">
        <v>176</v>
      </c>
      <c r="K106" s="10" t="s">
        <v>211</v>
      </c>
      <c r="L106" s="10"/>
    </row>
    <row r="107" spans="2:12">
      <c r="B107" s="11" t="str">
        <f t="shared" si="6"/>
        <v>4</v>
      </c>
      <c r="C107" s="12" t="str">
        <f t="shared" si="7"/>
        <v>1</v>
      </c>
      <c r="D107" s="12" t="str">
        <f t="shared" ca="1" si="8"/>
        <v>7</v>
      </c>
      <c r="E107" s="13" t="str">
        <f t="shared" ca="1" si="9"/>
        <v>0</v>
      </c>
      <c r="F107" s="18" t="s">
        <v>219</v>
      </c>
      <c r="G107" s="15" t="s">
        <v>791</v>
      </c>
      <c r="H107" s="10" t="s">
        <v>56</v>
      </c>
      <c r="I107" s="10" t="s">
        <v>180</v>
      </c>
      <c r="J107" s="10" t="s">
        <v>140</v>
      </c>
      <c r="K107" s="10" t="s">
        <v>211</v>
      </c>
      <c r="L107" s="10"/>
    </row>
    <row r="108" spans="2:12">
      <c r="B108" s="11" t="str">
        <f t="shared" si="6"/>
        <v>4</v>
      </c>
      <c r="C108" s="12" t="str">
        <f t="shared" si="7"/>
        <v>1</v>
      </c>
      <c r="D108" s="12" t="str">
        <f t="shared" ca="1" si="8"/>
        <v>7</v>
      </c>
      <c r="E108" s="13" t="str">
        <f t="shared" ca="1" si="9"/>
        <v>0</v>
      </c>
      <c r="F108" s="18" t="s">
        <v>215</v>
      </c>
      <c r="G108" s="15" t="s">
        <v>68</v>
      </c>
      <c r="H108" s="10" t="s">
        <v>56</v>
      </c>
      <c r="I108" s="10" t="s">
        <v>180</v>
      </c>
      <c r="J108" s="10" t="s">
        <v>140</v>
      </c>
      <c r="K108" s="10" t="s">
        <v>211</v>
      </c>
      <c r="L108" s="10"/>
    </row>
    <row r="109" spans="2:12">
      <c r="B109" s="11" t="str">
        <f t="shared" si="6"/>
        <v>4</v>
      </c>
      <c r="C109" s="12" t="str">
        <f t="shared" si="7"/>
        <v>1</v>
      </c>
      <c r="D109" s="12" t="str">
        <f t="shared" ca="1" si="8"/>
        <v>7</v>
      </c>
      <c r="E109" s="13" t="str">
        <f t="shared" ca="1" si="9"/>
        <v>0</v>
      </c>
      <c r="F109" s="18" t="s">
        <v>215</v>
      </c>
      <c r="G109" s="15" t="s">
        <v>69</v>
      </c>
      <c r="H109" s="10" t="s">
        <v>56</v>
      </c>
      <c r="I109" s="10" t="s">
        <v>180</v>
      </c>
      <c r="J109" s="10" t="s">
        <v>140</v>
      </c>
      <c r="K109" s="10" t="s">
        <v>211</v>
      </c>
      <c r="L109" s="10"/>
    </row>
    <row r="110" spans="2:12">
      <c r="B110" s="11" t="str">
        <f t="shared" si="6"/>
        <v>4</v>
      </c>
      <c r="C110" s="12" t="str">
        <f t="shared" si="7"/>
        <v>1</v>
      </c>
      <c r="D110" s="12" t="str">
        <f t="shared" ca="1" si="8"/>
        <v>7</v>
      </c>
      <c r="E110" s="13" t="str">
        <f t="shared" ca="1" si="9"/>
        <v>0</v>
      </c>
      <c r="F110" s="18" t="s">
        <v>215</v>
      </c>
      <c r="G110" s="15" t="s">
        <v>159</v>
      </c>
      <c r="H110" s="10" t="s">
        <v>56</v>
      </c>
      <c r="I110" s="10" t="s">
        <v>180</v>
      </c>
      <c r="J110" s="10" t="s">
        <v>140</v>
      </c>
      <c r="K110" s="10" t="s">
        <v>211</v>
      </c>
      <c r="L110" s="10"/>
    </row>
    <row r="111" spans="2:12">
      <c r="B111" s="11" t="str">
        <f t="shared" si="6"/>
        <v>4</v>
      </c>
      <c r="C111" s="12" t="str">
        <f t="shared" si="7"/>
        <v>1</v>
      </c>
      <c r="D111" s="12" t="str">
        <f t="shared" ca="1" si="8"/>
        <v>7</v>
      </c>
      <c r="E111" s="13" t="str">
        <f t="shared" ca="1" si="9"/>
        <v>0</v>
      </c>
      <c r="F111" s="18" t="s">
        <v>215</v>
      </c>
      <c r="G111" s="15" t="s">
        <v>160</v>
      </c>
      <c r="H111" s="10" t="s">
        <v>56</v>
      </c>
      <c r="I111" s="10" t="s">
        <v>180</v>
      </c>
      <c r="J111" s="10" t="s">
        <v>140</v>
      </c>
      <c r="K111" s="10" t="s">
        <v>211</v>
      </c>
      <c r="L111" s="10"/>
    </row>
    <row r="112" spans="2:12">
      <c r="B112" s="11" t="str">
        <f t="shared" si="6"/>
        <v>4</v>
      </c>
      <c r="C112" s="12" t="str">
        <f t="shared" si="7"/>
        <v>1</v>
      </c>
      <c r="D112" s="12" t="str">
        <f t="shared" ca="1" si="8"/>
        <v>8</v>
      </c>
      <c r="E112" s="13" t="str">
        <f t="shared" ca="1" si="9"/>
        <v>0</v>
      </c>
      <c r="F112" s="18" t="s">
        <v>219</v>
      </c>
      <c r="G112" s="15" t="s">
        <v>789</v>
      </c>
      <c r="H112" s="10" t="s">
        <v>56</v>
      </c>
      <c r="I112" s="10" t="s">
        <v>180</v>
      </c>
      <c r="J112" s="10" t="s">
        <v>158</v>
      </c>
      <c r="K112" s="10" t="s">
        <v>211</v>
      </c>
      <c r="L112" s="10"/>
    </row>
    <row r="113" spans="2:12">
      <c r="B113" s="11" t="str">
        <f t="shared" si="6"/>
        <v>4</v>
      </c>
      <c r="C113" s="12" t="str">
        <f t="shared" si="7"/>
        <v>1</v>
      </c>
      <c r="D113" s="12" t="str">
        <f t="shared" ca="1" si="8"/>
        <v>8</v>
      </c>
      <c r="E113" s="13" t="str">
        <f t="shared" ca="1" si="9"/>
        <v>0</v>
      </c>
      <c r="F113" s="18" t="s">
        <v>215</v>
      </c>
      <c r="G113" s="15" t="s">
        <v>157</v>
      </c>
      <c r="H113" s="10" t="s">
        <v>56</v>
      </c>
      <c r="I113" s="10" t="s">
        <v>180</v>
      </c>
      <c r="J113" s="10" t="s">
        <v>158</v>
      </c>
      <c r="K113" s="10" t="s">
        <v>211</v>
      </c>
      <c r="L113" s="10"/>
    </row>
    <row r="114" spans="2:12">
      <c r="B114" s="11" t="str">
        <f t="shared" si="6"/>
        <v>4</v>
      </c>
      <c r="C114" s="12" t="str">
        <f t="shared" si="7"/>
        <v>1</v>
      </c>
      <c r="D114" s="12" t="str">
        <f t="shared" ca="1" si="8"/>
        <v>9</v>
      </c>
      <c r="E114" s="13" t="str">
        <f t="shared" ca="1" si="9"/>
        <v>0</v>
      </c>
      <c r="F114" s="18" t="s">
        <v>219</v>
      </c>
      <c r="G114" s="15" t="s">
        <v>787</v>
      </c>
      <c r="H114" s="10" t="s">
        <v>56</v>
      </c>
      <c r="I114" s="10" t="s">
        <v>180</v>
      </c>
      <c r="J114" s="10" t="s">
        <v>156</v>
      </c>
      <c r="K114" s="10" t="s">
        <v>211</v>
      </c>
      <c r="L114" s="10"/>
    </row>
    <row r="115" spans="2:12">
      <c r="B115" s="11" t="str">
        <f t="shared" si="6"/>
        <v>4</v>
      </c>
      <c r="C115" s="12" t="str">
        <f t="shared" si="7"/>
        <v>1</v>
      </c>
      <c r="D115" s="12" t="str">
        <f t="shared" ca="1" si="8"/>
        <v>9</v>
      </c>
      <c r="E115" s="13" t="str">
        <f t="shared" ca="1" si="9"/>
        <v>0</v>
      </c>
      <c r="F115" s="18" t="s">
        <v>215</v>
      </c>
      <c r="G115" s="15" t="s">
        <v>116</v>
      </c>
      <c r="H115" s="10" t="s">
        <v>56</v>
      </c>
      <c r="I115" s="10" t="s">
        <v>180</v>
      </c>
      <c r="J115" s="10" t="s">
        <v>156</v>
      </c>
      <c r="K115" s="10" t="s">
        <v>211</v>
      </c>
      <c r="L115" s="10"/>
    </row>
    <row r="116" spans="2:12">
      <c r="B116" s="11" t="str">
        <f t="shared" si="6"/>
        <v>4</v>
      </c>
      <c r="C116" s="12" t="str">
        <f t="shared" si="7"/>
        <v>1</v>
      </c>
      <c r="D116" s="12" t="str">
        <f t="shared" ca="1" si="8"/>
        <v>9</v>
      </c>
      <c r="E116" s="13" t="str">
        <f t="shared" ca="1" si="9"/>
        <v>0</v>
      </c>
      <c r="F116" s="18" t="s">
        <v>215</v>
      </c>
      <c r="G116" s="15" t="s">
        <v>117</v>
      </c>
      <c r="H116" s="10" t="s">
        <v>56</v>
      </c>
      <c r="I116" s="10" t="s">
        <v>180</v>
      </c>
      <c r="J116" s="10" t="s">
        <v>156</v>
      </c>
      <c r="K116" s="10" t="s">
        <v>211</v>
      </c>
      <c r="L116" s="10"/>
    </row>
    <row r="117" spans="2:12">
      <c r="B117" s="11" t="str">
        <f t="shared" si="6"/>
        <v>4</v>
      </c>
      <c r="C117" s="12" t="str">
        <f t="shared" si="7"/>
        <v>1</v>
      </c>
      <c r="D117" s="12" t="str">
        <f t="shared" ca="1" si="8"/>
        <v>9</v>
      </c>
      <c r="E117" s="13" t="str">
        <f t="shared" ca="1" si="9"/>
        <v>0</v>
      </c>
      <c r="F117" s="18" t="s">
        <v>215</v>
      </c>
      <c r="G117" s="15" t="s">
        <v>118</v>
      </c>
      <c r="H117" s="10" t="s">
        <v>56</v>
      </c>
      <c r="I117" s="10" t="s">
        <v>180</v>
      </c>
      <c r="J117" s="10" t="s">
        <v>156</v>
      </c>
      <c r="K117" s="10" t="s">
        <v>211</v>
      </c>
      <c r="L117" s="10"/>
    </row>
    <row r="118" spans="2:12">
      <c r="B118" s="11" t="str">
        <f t="shared" si="6"/>
        <v>4</v>
      </c>
      <c r="C118" s="12" t="str">
        <f t="shared" si="7"/>
        <v>1</v>
      </c>
      <c r="D118" s="12" t="str">
        <f t="shared" ca="1" si="8"/>
        <v>9</v>
      </c>
      <c r="E118" s="13" t="str">
        <f t="shared" ca="1" si="9"/>
        <v>0</v>
      </c>
      <c r="F118" s="18" t="s">
        <v>215</v>
      </c>
      <c r="G118" s="15" t="s">
        <v>119</v>
      </c>
      <c r="H118" s="10" t="s">
        <v>56</v>
      </c>
      <c r="I118" s="10" t="s">
        <v>180</v>
      </c>
      <c r="J118" s="10" t="s">
        <v>156</v>
      </c>
      <c r="K118" s="10" t="s">
        <v>211</v>
      </c>
      <c r="L118" s="10"/>
    </row>
    <row r="119" spans="2:12">
      <c r="B119" s="11" t="str">
        <f t="shared" si="6"/>
        <v>4</v>
      </c>
      <c r="C119" s="12" t="str">
        <f t="shared" si="7"/>
        <v>1</v>
      </c>
      <c r="D119" s="12" t="str">
        <f t="shared" ca="1" si="8"/>
        <v>9</v>
      </c>
      <c r="E119" s="13" t="str">
        <f t="shared" ca="1" si="9"/>
        <v>0</v>
      </c>
      <c r="F119" s="18" t="s">
        <v>215</v>
      </c>
      <c r="G119" s="15" t="s">
        <v>120</v>
      </c>
      <c r="H119" s="10" t="s">
        <v>56</v>
      </c>
      <c r="I119" s="10" t="s">
        <v>180</v>
      </c>
      <c r="J119" s="10" t="s">
        <v>156</v>
      </c>
      <c r="K119" s="10" t="s">
        <v>211</v>
      </c>
      <c r="L119" s="10"/>
    </row>
    <row r="120" spans="2:12">
      <c r="B120" s="11" t="str">
        <f t="shared" si="6"/>
        <v>4</v>
      </c>
      <c r="C120" s="12" t="str">
        <f t="shared" si="7"/>
        <v>1</v>
      </c>
      <c r="D120" s="12" t="str">
        <f t="shared" ca="1" si="8"/>
        <v>9</v>
      </c>
      <c r="E120" s="13" t="str">
        <f t="shared" ca="1" si="9"/>
        <v>0</v>
      </c>
      <c r="F120" s="18" t="s">
        <v>215</v>
      </c>
      <c r="G120" s="15" t="s">
        <v>141</v>
      </c>
      <c r="H120" s="10" t="s">
        <v>56</v>
      </c>
      <c r="I120" s="10" t="s">
        <v>180</v>
      </c>
      <c r="J120" s="10" t="s">
        <v>156</v>
      </c>
      <c r="K120" s="10" t="s">
        <v>211</v>
      </c>
      <c r="L120" s="10"/>
    </row>
    <row r="121" spans="2:12">
      <c r="B121" s="11" t="str">
        <f t="shared" si="6"/>
        <v>4</v>
      </c>
      <c r="C121" s="12" t="str">
        <f t="shared" si="7"/>
        <v>1</v>
      </c>
      <c r="D121" s="12" t="str">
        <f t="shared" ca="1" si="8"/>
        <v>9</v>
      </c>
      <c r="E121" s="13" t="str">
        <f t="shared" ca="1" si="9"/>
        <v>0</v>
      </c>
      <c r="F121" s="18" t="s">
        <v>215</v>
      </c>
      <c r="G121" s="15" t="s">
        <v>144</v>
      </c>
      <c r="H121" s="10" t="s">
        <v>56</v>
      </c>
      <c r="I121" s="10" t="s">
        <v>180</v>
      </c>
      <c r="J121" s="10" t="s">
        <v>156</v>
      </c>
      <c r="K121" s="10" t="s">
        <v>211</v>
      </c>
      <c r="L121" s="10"/>
    </row>
    <row r="122" spans="2:12">
      <c r="B122" s="11" t="str">
        <f t="shared" si="6"/>
        <v>4</v>
      </c>
      <c r="C122" s="12" t="str">
        <f t="shared" si="7"/>
        <v>1</v>
      </c>
      <c r="D122" s="12" t="str">
        <f t="shared" ca="1" si="8"/>
        <v>9</v>
      </c>
      <c r="E122" s="13" t="str">
        <f t="shared" ca="1" si="9"/>
        <v>0</v>
      </c>
      <c r="F122" s="18" t="s">
        <v>215</v>
      </c>
      <c r="G122" s="15" t="s">
        <v>145</v>
      </c>
      <c r="H122" s="10" t="s">
        <v>56</v>
      </c>
      <c r="I122" s="10" t="s">
        <v>180</v>
      </c>
      <c r="J122" s="10" t="s">
        <v>156</v>
      </c>
      <c r="K122" s="10" t="s">
        <v>211</v>
      </c>
      <c r="L122" s="10"/>
    </row>
    <row r="123" spans="2:12">
      <c r="B123" s="11" t="str">
        <f t="shared" si="6"/>
        <v>4</v>
      </c>
      <c r="C123" s="12" t="str">
        <f t="shared" si="7"/>
        <v>1</v>
      </c>
      <c r="D123" s="12" t="str">
        <f t="shared" ca="1" si="8"/>
        <v>9</v>
      </c>
      <c r="E123" s="13" t="str">
        <f t="shared" ca="1" si="9"/>
        <v>0</v>
      </c>
      <c r="F123" s="18" t="s">
        <v>215</v>
      </c>
      <c r="G123" s="15" t="s">
        <v>146</v>
      </c>
      <c r="H123" s="10" t="s">
        <v>56</v>
      </c>
      <c r="I123" s="10" t="s">
        <v>180</v>
      </c>
      <c r="J123" s="10" t="s">
        <v>156</v>
      </c>
      <c r="K123" s="10" t="s">
        <v>211</v>
      </c>
      <c r="L123" s="10"/>
    </row>
    <row r="124" spans="2:12">
      <c r="B124" s="11" t="str">
        <f t="shared" si="6"/>
        <v>4</v>
      </c>
      <c r="C124" s="12" t="str">
        <f t="shared" si="7"/>
        <v>1</v>
      </c>
      <c r="D124" s="12" t="str">
        <f t="shared" ca="1" si="8"/>
        <v>9</v>
      </c>
      <c r="E124" s="13" t="str">
        <f t="shared" ca="1" si="9"/>
        <v>0</v>
      </c>
      <c r="F124" s="18" t="s">
        <v>215</v>
      </c>
      <c r="G124" s="15" t="s">
        <v>147</v>
      </c>
      <c r="H124" s="10" t="s">
        <v>56</v>
      </c>
      <c r="I124" s="10" t="s">
        <v>180</v>
      </c>
      <c r="J124" s="10" t="s">
        <v>156</v>
      </c>
      <c r="K124" s="10" t="s">
        <v>211</v>
      </c>
      <c r="L124" s="10"/>
    </row>
    <row r="125" spans="2:12">
      <c r="B125" s="11" t="str">
        <f t="shared" si="6"/>
        <v>4</v>
      </c>
      <c r="C125" s="12" t="str">
        <f t="shared" si="7"/>
        <v>1</v>
      </c>
      <c r="D125" s="12" t="str">
        <f t="shared" ca="1" si="8"/>
        <v>9</v>
      </c>
      <c r="E125" s="13" t="str">
        <f t="shared" ca="1" si="9"/>
        <v>0</v>
      </c>
      <c r="F125" s="18" t="s">
        <v>215</v>
      </c>
      <c r="G125" s="15" t="s">
        <v>148</v>
      </c>
      <c r="H125" s="10" t="s">
        <v>56</v>
      </c>
      <c r="I125" s="10" t="s">
        <v>180</v>
      </c>
      <c r="J125" s="10" t="s">
        <v>156</v>
      </c>
      <c r="K125" s="10" t="s">
        <v>211</v>
      </c>
      <c r="L125" s="10"/>
    </row>
    <row r="126" spans="2:12">
      <c r="B126" s="11" t="str">
        <f t="shared" si="6"/>
        <v>4</v>
      </c>
      <c r="C126" s="12" t="str">
        <f t="shared" si="7"/>
        <v>1</v>
      </c>
      <c r="D126" s="12" t="str">
        <f t="shared" ca="1" si="8"/>
        <v>9</v>
      </c>
      <c r="E126" s="13" t="str">
        <f t="shared" ca="1" si="9"/>
        <v>0</v>
      </c>
      <c r="F126" s="18" t="s">
        <v>215</v>
      </c>
      <c r="G126" s="15" t="s">
        <v>149</v>
      </c>
      <c r="H126" s="10" t="s">
        <v>56</v>
      </c>
      <c r="I126" s="10" t="s">
        <v>180</v>
      </c>
      <c r="J126" s="10" t="s">
        <v>156</v>
      </c>
      <c r="K126" s="10" t="s">
        <v>211</v>
      </c>
      <c r="L126" s="10"/>
    </row>
    <row r="127" spans="2:12">
      <c r="B127" s="11" t="str">
        <f t="shared" si="6"/>
        <v>4</v>
      </c>
      <c r="C127" s="12" t="str">
        <f t="shared" si="7"/>
        <v>1</v>
      </c>
      <c r="D127" s="12" t="str">
        <f t="shared" ca="1" si="8"/>
        <v>9</v>
      </c>
      <c r="E127" s="13" t="str">
        <f t="shared" ca="1" si="9"/>
        <v>0</v>
      </c>
      <c r="F127" s="18" t="s">
        <v>215</v>
      </c>
      <c r="G127" s="15" t="s">
        <v>150</v>
      </c>
      <c r="H127" s="10" t="s">
        <v>56</v>
      </c>
      <c r="I127" s="10" t="s">
        <v>180</v>
      </c>
      <c r="J127" s="10" t="s">
        <v>156</v>
      </c>
      <c r="K127" s="10" t="s">
        <v>211</v>
      </c>
      <c r="L127" s="10"/>
    </row>
    <row r="128" spans="2:12">
      <c r="B128" s="11" t="str">
        <f t="shared" si="6"/>
        <v>4</v>
      </c>
      <c r="C128" s="12" t="str">
        <f t="shared" si="7"/>
        <v>1</v>
      </c>
      <c r="D128" s="12" t="str">
        <f t="shared" ca="1" si="8"/>
        <v>9</v>
      </c>
      <c r="E128" s="13" t="str">
        <f t="shared" ca="1" si="9"/>
        <v>0</v>
      </c>
      <c r="F128" s="18" t="s">
        <v>215</v>
      </c>
      <c r="G128" s="15" t="s">
        <v>151</v>
      </c>
      <c r="H128" s="10" t="s">
        <v>56</v>
      </c>
      <c r="I128" s="10" t="s">
        <v>180</v>
      </c>
      <c r="J128" s="10" t="s">
        <v>156</v>
      </c>
      <c r="K128" s="10" t="s">
        <v>211</v>
      </c>
      <c r="L128" s="10"/>
    </row>
    <row r="129" spans="2:12">
      <c r="B129" s="11" t="str">
        <f t="shared" si="6"/>
        <v>4</v>
      </c>
      <c r="C129" s="12" t="str">
        <f t="shared" si="7"/>
        <v>1</v>
      </c>
      <c r="D129" s="12" t="str">
        <f t="shared" ca="1" si="8"/>
        <v>9</v>
      </c>
      <c r="E129" s="13" t="str">
        <f t="shared" ca="1" si="9"/>
        <v>0</v>
      </c>
      <c r="F129" s="18" t="s">
        <v>215</v>
      </c>
      <c r="G129" s="15" t="s">
        <v>152</v>
      </c>
      <c r="H129" s="10" t="s">
        <v>56</v>
      </c>
      <c r="I129" s="10" t="s">
        <v>180</v>
      </c>
      <c r="J129" s="10" t="s">
        <v>156</v>
      </c>
      <c r="K129" s="10" t="s">
        <v>211</v>
      </c>
      <c r="L129" s="10"/>
    </row>
    <row r="130" spans="2:12">
      <c r="B130" s="11" t="str">
        <f t="shared" si="6"/>
        <v>4</v>
      </c>
      <c r="C130" s="12" t="str">
        <f t="shared" si="7"/>
        <v>1</v>
      </c>
      <c r="D130" s="12" t="str">
        <f t="shared" ca="1" si="8"/>
        <v>9</v>
      </c>
      <c r="E130" s="13" t="str">
        <f t="shared" ca="1" si="9"/>
        <v>0</v>
      </c>
      <c r="F130" s="18" t="s">
        <v>215</v>
      </c>
      <c r="G130" s="15" t="s">
        <v>153</v>
      </c>
      <c r="H130" s="10" t="s">
        <v>56</v>
      </c>
      <c r="I130" s="10" t="s">
        <v>180</v>
      </c>
      <c r="J130" s="10" t="s">
        <v>156</v>
      </c>
      <c r="K130" s="10" t="s">
        <v>211</v>
      </c>
      <c r="L130" s="10"/>
    </row>
    <row r="131" spans="2:12">
      <c r="B131" s="11" t="str">
        <f t="shared" si="6"/>
        <v>4</v>
      </c>
      <c r="C131" s="12" t="str">
        <f t="shared" si="7"/>
        <v>1</v>
      </c>
      <c r="D131" s="12" t="str">
        <f t="shared" ca="1" si="8"/>
        <v>9</v>
      </c>
      <c r="E131" s="13" t="str">
        <f t="shared" ca="1" si="9"/>
        <v>0</v>
      </c>
      <c r="F131" s="18" t="s">
        <v>215</v>
      </c>
      <c r="G131" s="15" t="s">
        <v>154</v>
      </c>
      <c r="H131" s="10" t="s">
        <v>56</v>
      </c>
      <c r="I131" s="10" t="s">
        <v>180</v>
      </c>
      <c r="J131" s="10" t="s">
        <v>156</v>
      </c>
      <c r="K131" s="10" t="s">
        <v>211</v>
      </c>
      <c r="L131" s="10"/>
    </row>
    <row r="132" spans="2:12">
      <c r="B132" s="11" t="str">
        <f t="shared" si="6"/>
        <v>4</v>
      </c>
      <c r="C132" s="12" t="str">
        <f t="shared" si="7"/>
        <v>1</v>
      </c>
      <c r="D132" s="12" t="str">
        <f t="shared" ca="1" si="8"/>
        <v>9</v>
      </c>
      <c r="E132" s="13" t="str">
        <f t="shared" ca="1" si="9"/>
        <v>0</v>
      </c>
      <c r="F132" s="18" t="s">
        <v>215</v>
      </c>
      <c r="G132" s="15" t="s">
        <v>155</v>
      </c>
      <c r="H132" s="10" t="s">
        <v>56</v>
      </c>
      <c r="I132" s="10" t="s">
        <v>180</v>
      </c>
      <c r="J132" s="10" t="s">
        <v>156</v>
      </c>
      <c r="K132" s="10" t="s">
        <v>211</v>
      </c>
      <c r="L132" s="10"/>
    </row>
    <row r="133" spans="2:12">
      <c r="B133" s="11" t="str">
        <f t="shared" si="6"/>
        <v>4</v>
      </c>
      <c r="C133" s="12" t="str">
        <f t="shared" si="7"/>
        <v>1</v>
      </c>
      <c r="D133" s="12" t="str">
        <f t="shared" ca="1" si="8"/>
        <v>A</v>
      </c>
      <c r="E133" s="13" t="str">
        <f t="shared" ca="1" si="9"/>
        <v>0</v>
      </c>
      <c r="F133" s="18" t="s">
        <v>219</v>
      </c>
      <c r="G133" s="15" t="s">
        <v>785</v>
      </c>
      <c r="H133" s="10" t="s">
        <v>56</v>
      </c>
      <c r="I133" s="10" t="s">
        <v>180</v>
      </c>
      <c r="J133" s="10" t="s">
        <v>122</v>
      </c>
      <c r="K133" s="10" t="s">
        <v>211</v>
      </c>
      <c r="L133" s="10"/>
    </row>
    <row r="134" spans="2:12">
      <c r="B134" s="11" t="str">
        <f t="shared" si="6"/>
        <v>4</v>
      </c>
      <c r="C134" s="12" t="str">
        <f t="shared" si="7"/>
        <v>1</v>
      </c>
      <c r="D134" s="12" t="str">
        <f t="shared" ca="1" si="8"/>
        <v>B</v>
      </c>
      <c r="E134" s="13" t="str">
        <f t="shared" ca="1" si="9"/>
        <v>0</v>
      </c>
      <c r="F134" s="18" t="s">
        <v>219</v>
      </c>
      <c r="G134" s="14" t="s">
        <v>783</v>
      </c>
      <c r="H134" s="10" t="s">
        <v>56</v>
      </c>
      <c r="I134" s="10" t="s">
        <v>180</v>
      </c>
      <c r="J134" s="10" t="s">
        <v>199</v>
      </c>
      <c r="K134" s="10" t="s">
        <v>211</v>
      </c>
      <c r="L134" s="10"/>
    </row>
    <row r="135" spans="2:12">
      <c r="B135" s="11" t="str">
        <f>IFERROR(DEC2HEX(MATCH($H135,Mainリスト,FALSE)-1,1),"")</f>
        <v>4</v>
      </c>
      <c r="C135" s="12" t="str">
        <f>IFERROR(DEC2HEX(MATCH($I135,Typeリスト,FALSE)-1,1),"")</f>
        <v>1</v>
      </c>
      <c r="D135" s="12" t="str">
        <f ca="1">IFERROR(DEC2HEX(MATCH($J135,INDIRECT($H135&amp;$I135&amp;"Sub1"&amp;"リスト"),FALSE)-1,1),"")</f>
        <v>B</v>
      </c>
      <c r="E135" s="13" t="str">
        <f ca="1">IFERROR(DEC2HEX(MATCH($K135,INDIRECT($H135&amp;$I135&amp;"Sub2"&amp;"リスト"),FALSE)-1,1),"")</f>
        <v>0</v>
      </c>
      <c r="F135" s="18" t="s">
        <v>222</v>
      </c>
      <c r="G135" s="14" t="s">
        <v>224</v>
      </c>
      <c r="H135" s="10" t="s">
        <v>56</v>
      </c>
      <c r="I135" s="10" t="s">
        <v>180</v>
      </c>
      <c r="J135" s="10" t="s">
        <v>199</v>
      </c>
      <c r="K135" s="10" t="s">
        <v>211</v>
      </c>
      <c r="L135" s="10"/>
    </row>
    <row r="136" spans="2:12">
      <c r="B136" s="11" t="str">
        <f>IFERROR(DEC2HEX(MATCH($H136,Mainリスト,FALSE)-1,1),"")</f>
        <v>4</v>
      </c>
      <c r="C136" s="12" t="str">
        <f>IFERROR(DEC2HEX(MATCH($I136,Typeリスト,FALSE)-1,1),"")</f>
        <v>1</v>
      </c>
      <c r="D136" s="12" t="str">
        <f ca="1">IFERROR(DEC2HEX(MATCH($J136,INDIRECT($H136&amp;$I136&amp;"Sub1"&amp;"リスト"),FALSE)-1,1),"")</f>
        <v>C</v>
      </c>
      <c r="E136" s="13" t="str">
        <f ca="1">IFERROR(DEC2HEX(MATCH($K136,INDIRECT($H136&amp;$I136&amp;"Sub2"&amp;"リスト"),FALSE)-1,1),"")</f>
        <v>0</v>
      </c>
      <c r="F136" s="18" t="s">
        <v>219</v>
      </c>
      <c r="G136" s="14" t="s">
        <v>1161</v>
      </c>
      <c r="H136" s="10" t="s">
        <v>56</v>
      </c>
      <c r="I136" s="10" t="s">
        <v>180</v>
      </c>
      <c r="J136" s="10" t="s">
        <v>1126</v>
      </c>
      <c r="K136" s="10" t="s">
        <v>211</v>
      </c>
      <c r="L136" s="10" t="s">
        <v>1148</v>
      </c>
    </row>
    <row r="137" spans="2:12">
      <c r="B137" s="11" t="str">
        <f t="shared" si="6"/>
        <v>5</v>
      </c>
      <c r="C137" s="12" t="str">
        <f t="shared" si="7"/>
        <v>0</v>
      </c>
      <c r="D137" s="12" t="str">
        <f t="shared" ca="1" si="8"/>
        <v>0</v>
      </c>
      <c r="E137" s="13" t="str">
        <f t="shared" ca="1" si="9"/>
        <v>0</v>
      </c>
      <c r="F137" s="18" t="s">
        <v>259</v>
      </c>
      <c r="G137" s="15"/>
      <c r="H137" s="10" t="s">
        <v>207</v>
      </c>
      <c r="I137" s="10" t="s">
        <v>162</v>
      </c>
      <c r="J137" s="10" t="s">
        <v>211</v>
      </c>
      <c r="K137" s="10" t="s">
        <v>211</v>
      </c>
      <c r="L137" s="10"/>
    </row>
    <row r="138" spans="2:12">
      <c r="B138" s="11" t="str">
        <f t="shared" ref="B138:B203" si="10">IFERROR(DEC2HEX(MATCH($H138,Mainリスト,FALSE)-1,1),"")</f>
        <v>5</v>
      </c>
      <c r="C138" s="12" t="str">
        <f t="shared" ref="C138:C203" si="11">IFERROR(DEC2HEX(MATCH($I138,Typeリスト,FALSE)-1,1),"")</f>
        <v>0</v>
      </c>
      <c r="D138" s="12" t="str">
        <f t="shared" ca="1" si="8"/>
        <v>0</v>
      </c>
      <c r="E138" s="13" t="str">
        <f t="shared" ca="1" si="9"/>
        <v>0</v>
      </c>
      <c r="F138" s="18" t="s">
        <v>259</v>
      </c>
      <c r="G138" s="15" t="s">
        <v>263</v>
      </c>
      <c r="H138" s="10" t="s">
        <v>207</v>
      </c>
      <c r="I138" s="10" t="s">
        <v>162</v>
      </c>
      <c r="J138" s="10" t="s">
        <v>211</v>
      </c>
      <c r="K138" s="10" t="s">
        <v>211</v>
      </c>
      <c r="L138" s="10"/>
    </row>
    <row r="139" spans="2:12">
      <c r="B139" s="11" t="str">
        <f t="shared" si="10"/>
        <v>5</v>
      </c>
      <c r="C139" s="12" t="str">
        <f t="shared" si="11"/>
        <v>0</v>
      </c>
      <c r="D139" s="12" t="str">
        <f t="shared" ref="D139:D204" ca="1" si="12">IFERROR(DEC2HEX(MATCH($J139,INDIRECT($H139&amp;$I139&amp;"Sub1"&amp;"リスト"),FALSE)-1,1),"")</f>
        <v>0</v>
      </c>
      <c r="E139" s="13" t="str">
        <f t="shared" ref="E139:E204" ca="1" si="13">IFERROR(DEC2HEX(MATCH($K139,INDIRECT($H139&amp;$I139&amp;"Sub2"&amp;"リスト"),FALSE)-1,1),"")</f>
        <v>0</v>
      </c>
      <c r="F139" s="18" t="s">
        <v>219</v>
      </c>
      <c r="G139" s="14" t="s">
        <v>1124</v>
      </c>
      <c r="H139" s="10" t="s">
        <v>207</v>
      </c>
      <c r="I139" s="10" t="s">
        <v>162</v>
      </c>
      <c r="J139" s="10" t="s">
        <v>211</v>
      </c>
      <c r="K139" s="10" t="s">
        <v>211</v>
      </c>
      <c r="L139" s="10"/>
    </row>
    <row r="140" spans="2:12">
      <c r="B140" s="11" t="str">
        <f t="shared" si="10"/>
        <v>5</v>
      </c>
      <c r="C140" s="12" t="str">
        <f t="shared" si="11"/>
        <v>1</v>
      </c>
      <c r="D140" s="12" t="str">
        <f t="shared" ca="1" si="12"/>
        <v>1</v>
      </c>
      <c r="E140" s="13" t="str">
        <f t="shared" ca="1" si="13"/>
        <v>0</v>
      </c>
      <c r="F140" s="18" t="s">
        <v>219</v>
      </c>
      <c r="G140" s="15" t="s">
        <v>751</v>
      </c>
      <c r="H140" s="10" t="s">
        <v>207</v>
      </c>
      <c r="I140" s="10" t="s">
        <v>180</v>
      </c>
      <c r="J140" s="10" t="s">
        <v>177</v>
      </c>
      <c r="K140" s="10" t="s">
        <v>211</v>
      </c>
      <c r="L140" s="10"/>
    </row>
    <row r="141" spans="2:12">
      <c r="B141" s="11" t="str">
        <f t="shared" si="10"/>
        <v>5</v>
      </c>
      <c r="C141" s="12" t="str">
        <f t="shared" si="11"/>
        <v>1</v>
      </c>
      <c r="D141" s="12" t="str">
        <f t="shared" ca="1" si="12"/>
        <v>0</v>
      </c>
      <c r="E141" s="13" t="str">
        <f t="shared" ca="1" si="13"/>
        <v>0</v>
      </c>
      <c r="F141" s="18" t="s">
        <v>222</v>
      </c>
      <c r="G141" s="15" t="s">
        <v>752</v>
      </c>
      <c r="H141" s="10" t="s">
        <v>207</v>
      </c>
      <c r="I141" s="10" t="s">
        <v>180</v>
      </c>
      <c r="J141" s="10" t="s">
        <v>211</v>
      </c>
      <c r="K141" s="10" t="s">
        <v>211</v>
      </c>
      <c r="L141" s="10"/>
    </row>
    <row r="142" spans="2:12">
      <c r="B142" s="11" t="str">
        <f t="shared" si="10"/>
        <v>5</v>
      </c>
      <c r="C142" s="12" t="str">
        <f t="shared" si="11"/>
        <v>1</v>
      </c>
      <c r="D142" s="12" t="str">
        <f t="shared" ca="1" si="12"/>
        <v>2</v>
      </c>
      <c r="E142" s="13" t="str">
        <f t="shared" ca="1" si="13"/>
        <v>0</v>
      </c>
      <c r="F142" s="18" t="s">
        <v>219</v>
      </c>
      <c r="G142" s="15" t="s">
        <v>754</v>
      </c>
      <c r="H142" s="10" t="s">
        <v>207</v>
      </c>
      <c r="I142" s="10" t="s">
        <v>180</v>
      </c>
      <c r="J142" s="10" t="s">
        <v>178</v>
      </c>
      <c r="K142" s="10" t="s">
        <v>211</v>
      </c>
      <c r="L142" s="10"/>
    </row>
    <row r="143" spans="2:12">
      <c r="B143" s="11" t="str">
        <f t="shared" si="10"/>
        <v>5</v>
      </c>
      <c r="C143" s="12" t="str">
        <f t="shared" si="11"/>
        <v>1</v>
      </c>
      <c r="D143" s="12" t="str">
        <f t="shared" ca="1" si="12"/>
        <v>3</v>
      </c>
      <c r="E143" s="13" t="str">
        <f t="shared" ca="1" si="13"/>
        <v>0</v>
      </c>
      <c r="F143" s="18" t="s">
        <v>219</v>
      </c>
      <c r="G143" s="15" t="s">
        <v>756</v>
      </c>
      <c r="H143" s="10" t="s">
        <v>207</v>
      </c>
      <c r="I143" s="10" t="s">
        <v>180</v>
      </c>
      <c r="J143" s="10" t="s">
        <v>60</v>
      </c>
      <c r="K143" s="10" t="s">
        <v>211</v>
      </c>
      <c r="L143" s="10"/>
    </row>
    <row r="144" spans="2:12">
      <c r="B144" s="11" t="str">
        <f t="shared" si="10"/>
        <v>5</v>
      </c>
      <c r="C144" s="12" t="str">
        <f t="shared" si="11"/>
        <v>1</v>
      </c>
      <c r="D144" s="12" t="str">
        <f t="shared" ca="1" si="12"/>
        <v>4</v>
      </c>
      <c r="E144" s="13" t="str">
        <f t="shared" ca="1" si="13"/>
        <v>0</v>
      </c>
      <c r="F144" s="18" t="s">
        <v>219</v>
      </c>
      <c r="G144" s="15" t="s">
        <v>758</v>
      </c>
      <c r="H144" s="10" t="s">
        <v>207</v>
      </c>
      <c r="I144" s="10" t="s">
        <v>180</v>
      </c>
      <c r="J144" s="10" t="s">
        <v>179</v>
      </c>
      <c r="K144" s="10" t="s">
        <v>211</v>
      </c>
      <c r="L144" s="10" t="s">
        <v>218</v>
      </c>
    </row>
    <row r="145" spans="2:12">
      <c r="B145" s="11" t="str">
        <f t="shared" si="10"/>
        <v>5</v>
      </c>
      <c r="C145" s="12" t="str">
        <f t="shared" si="11"/>
        <v>1</v>
      </c>
      <c r="D145" s="12" t="str">
        <f t="shared" ca="1" si="12"/>
        <v>5</v>
      </c>
      <c r="E145" s="13" t="str">
        <f t="shared" ca="1" si="13"/>
        <v>0</v>
      </c>
      <c r="F145" s="18" t="s">
        <v>219</v>
      </c>
      <c r="G145" s="15" t="s">
        <v>760</v>
      </c>
      <c r="H145" s="10" t="s">
        <v>207</v>
      </c>
      <c r="I145" s="10" t="s">
        <v>180</v>
      </c>
      <c r="J145" s="10" t="s">
        <v>111</v>
      </c>
      <c r="K145" s="10" t="s">
        <v>211</v>
      </c>
      <c r="L145" s="10" t="s">
        <v>218</v>
      </c>
    </row>
    <row r="146" spans="2:12">
      <c r="B146" s="11" t="str">
        <f t="shared" si="10"/>
        <v>6</v>
      </c>
      <c r="C146" s="12" t="str">
        <f t="shared" si="11"/>
        <v>0</v>
      </c>
      <c r="D146" s="12" t="str">
        <f t="shared" ca="1" si="12"/>
        <v>0</v>
      </c>
      <c r="E146" s="13" t="str">
        <f t="shared" ca="1" si="13"/>
        <v>0</v>
      </c>
      <c r="F146" s="18" t="s">
        <v>259</v>
      </c>
      <c r="G146" s="15"/>
      <c r="H146" s="10" t="s">
        <v>59</v>
      </c>
      <c r="I146" s="10" t="s">
        <v>162</v>
      </c>
      <c r="J146" s="10" t="s">
        <v>211</v>
      </c>
      <c r="K146" s="10" t="s">
        <v>211</v>
      </c>
      <c r="L146" s="10"/>
    </row>
    <row r="147" spans="2:12">
      <c r="B147" s="11" t="str">
        <f t="shared" si="10"/>
        <v>6</v>
      </c>
      <c r="C147" s="12" t="str">
        <f t="shared" si="11"/>
        <v>0</v>
      </c>
      <c r="D147" s="12" t="str">
        <f t="shared" ca="1" si="12"/>
        <v>0</v>
      </c>
      <c r="E147" s="13" t="str">
        <f t="shared" ca="1" si="13"/>
        <v>0</v>
      </c>
      <c r="F147" s="18" t="s">
        <v>259</v>
      </c>
      <c r="G147" s="15" t="s">
        <v>262</v>
      </c>
      <c r="H147" s="10" t="s">
        <v>59</v>
      </c>
      <c r="I147" s="10" t="s">
        <v>162</v>
      </c>
      <c r="J147" s="10" t="s">
        <v>211</v>
      </c>
      <c r="K147" s="10" t="s">
        <v>211</v>
      </c>
      <c r="L147" s="10"/>
    </row>
    <row r="148" spans="2:12">
      <c r="B148" s="11" t="str">
        <f t="shared" si="10"/>
        <v>6</v>
      </c>
      <c r="C148" s="12" t="str">
        <f t="shared" si="11"/>
        <v>0</v>
      </c>
      <c r="D148" s="12" t="str">
        <f t="shared" ca="1" si="12"/>
        <v>0</v>
      </c>
      <c r="E148" s="13" t="str">
        <f t="shared" ca="1" si="13"/>
        <v>0</v>
      </c>
      <c r="F148" s="18" t="s">
        <v>219</v>
      </c>
      <c r="G148" s="14" t="s">
        <v>761</v>
      </c>
      <c r="H148" s="10" t="s">
        <v>59</v>
      </c>
      <c r="I148" s="10" t="s">
        <v>162</v>
      </c>
      <c r="J148" s="10" t="s">
        <v>211</v>
      </c>
      <c r="K148" s="10" t="s">
        <v>211</v>
      </c>
      <c r="L148" s="10"/>
    </row>
    <row r="149" spans="2:12">
      <c r="B149" s="11" t="str">
        <f t="shared" si="10"/>
        <v>6</v>
      </c>
      <c r="C149" s="12" t="str">
        <f t="shared" si="11"/>
        <v>1</v>
      </c>
      <c r="D149" s="12" t="str">
        <f t="shared" ca="1" si="12"/>
        <v>1</v>
      </c>
      <c r="E149" s="13" t="str">
        <f t="shared" ca="1" si="13"/>
        <v>0</v>
      </c>
      <c r="F149" s="18" t="s">
        <v>219</v>
      </c>
      <c r="G149" s="15" t="s">
        <v>763</v>
      </c>
      <c r="H149" s="10" t="s">
        <v>59</v>
      </c>
      <c r="I149" s="10" t="s">
        <v>180</v>
      </c>
      <c r="J149" s="10" t="s">
        <v>180</v>
      </c>
      <c r="K149" s="10" t="s">
        <v>211</v>
      </c>
      <c r="L149" s="10" t="s">
        <v>218</v>
      </c>
    </row>
    <row r="150" spans="2:12">
      <c r="B150" s="11" t="str">
        <f t="shared" si="10"/>
        <v>6</v>
      </c>
      <c r="C150" s="12" t="str">
        <f t="shared" si="11"/>
        <v>1</v>
      </c>
      <c r="D150" s="12" t="str">
        <f t="shared" ca="1" si="12"/>
        <v>1</v>
      </c>
      <c r="E150" s="13" t="str">
        <f t="shared" ca="1" si="13"/>
        <v>0</v>
      </c>
      <c r="F150" s="18" t="s">
        <v>215</v>
      </c>
      <c r="G150" s="15" t="s">
        <v>764</v>
      </c>
      <c r="H150" s="10" t="s">
        <v>59</v>
      </c>
      <c r="I150" s="10" t="s">
        <v>180</v>
      </c>
      <c r="J150" s="10" t="s">
        <v>180</v>
      </c>
      <c r="K150" s="10" t="s">
        <v>211</v>
      </c>
      <c r="L150" s="10"/>
    </row>
    <row r="151" spans="2:12">
      <c r="B151" s="11" t="str">
        <f t="shared" si="10"/>
        <v>6</v>
      </c>
      <c r="C151" s="12" t="str">
        <f t="shared" si="11"/>
        <v>1</v>
      </c>
      <c r="D151" s="12" t="str">
        <f t="shared" ca="1" si="12"/>
        <v>2</v>
      </c>
      <c r="E151" s="13" t="str">
        <f t="shared" ca="1" si="13"/>
        <v>0</v>
      </c>
      <c r="F151" s="18" t="s">
        <v>219</v>
      </c>
      <c r="G151" s="15" t="s">
        <v>766</v>
      </c>
      <c r="H151" s="10" t="s">
        <v>59</v>
      </c>
      <c r="I151" s="10" t="s">
        <v>180</v>
      </c>
      <c r="J151" s="10" t="s">
        <v>71</v>
      </c>
      <c r="K151" s="10" t="s">
        <v>211</v>
      </c>
      <c r="L151" s="10" t="s">
        <v>217</v>
      </c>
    </row>
    <row r="152" spans="2:12">
      <c r="B152" s="11" t="str">
        <f t="shared" si="10"/>
        <v>6</v>
      </c>
      <c r="C152" s="12" t="str">
        <f t="shared" si="11"/>
        <v>1</v>
      </c>
      <c r="D152" s="12" t="str">
        <f t="shared" ca="1" si="12"/>
        <v>2</v>
      </c>
      <c r="E152" s="13" t="str">
        <f t="shared" ca="1" si="13"/>
        <v>0</v>
      </c>
      <c r="F152" s="18" t="s">
        <v>215</v>
      </c>
      <c r="G152" s="15" t="s">
        <v>767</v>
      </c>
      <c r="H152" s="10" t="s">
        <v>59</v>
      </c>
      <c r="I152" s="10" t="s">
        <v>180</v>
      </c>
      <c r="J152" s="10" t="s">
        <v>71</v>
      </c>
      <c r="K152" s="10" t="s">
        <v>211</v>
      </c>
      <c r="L152" s="10"/>
    </row>
    <row r="153" spans="2:12">
      <c r="B153" s="11" t="str">
        <f t="shared" si="10"/>
        <v>6</v>
      </c>
      <c r="C153" s="12" t="str">
        <f t="shared" si="11"/>
        <v>1</v>
      </c>
      <c r="D153" s="12" t="str">
        <f t="shared" ca="1" si="12"/>
        <v>2</v>
      </c>
      <c r="E153" s="13" t="str">
        <f t="shared" ca="1" si="13"/>
        <v>0</v>
      </c>
      <c r="F153" s="18" t="s">
        <v>215</v>
      </c>
      <c r="G153" s="15" t="s">
        <v>768</v>
      </c>
      <c r="H153" s="10" t="s">
        <v>59</v>
      </c>
      <c r="I153" s="10" t="s">
        <v>180</v>
      </c>
      <c r="J153" s="10" t="s">
        <v>71</v>
      </c>
      <c r="K153" s="10" t="s">
        <v>211</v>
      </c>
      <c r="L153" s="10"/>
    </row>
    <row r="154" spans="2:12">
      <c r="B154" s="11" t="str">
        <f t="shared" si="10"/>
        <v>6</v>
      </c>
      <c r="C154" s="12" t="str">
        <f t="shared" si="11"/>
        <v>1</v>
      </c>
      <c r="D154" s="12" t="str">
        <f t="shared" ca="1" si="12"/>
        <v>3</v>
      </c>
      <c r="E154" s="13" t="str">
        <f t="shared" ca="1" si="13"/>
        <v>0</v>
      </c>
      <c r="F154" s="18" t="s">
        <v>219</v>
      </c>
      <c r="G154" s="15" t="s">
        <v>770</v>
      </c>
      <c r="H154" s="10" t="s">
        <v>59</v>
      </c>
      <c r="I154" s="10" t="s">
        <v>180</v>
      </c>
      <c r="J154" s="10" t="s">
        <v>59</v>
      </c>
      <c r="K154" s="10" t="s">
        <v>211</v>
      </c>
      <c r="L154" s="10" t="s">
        <v>218</v>
      </c>
    </row>
    <row r="155" spans="2:12">
      <c r="B155" s="11" t="str">
        <f t="shared" si="10"/>
        <v>6</v>
      </c>
      <c r="C155" s="12" t="str">
        <f t="shared" si="11"/>
        <v>1</v>
      </c>
      <c r="D155" s="12" t="str">
        <f t="shared" ca="1" si="12"/>
        <v>3</v>
      </c>
      <c r="E155" s="13" t="str">
        <f t="shared" ca="1" si="13"/>
        <v>0</v>
      </c>
      <c r="F155" s="18" t="s">
        <v>215</v>
      </c>
      <c r="G155" s="15" t="s">
        <v>26</v>
      </c>
      <c r="H155" s="10" t="s">
        <v>59</v>
      </c>
      <c r="I155" s="10" t="s">
        <v>180</v>
      </c>
      <c r="J155" s="10" t="s">
        <v>59</v>
      </c>
      <c r="K155" s="10" t="s">
        <v>211</v>
      </c>
      <c r="L155" s="10"/>
    </row>
    <row r="156" spans="2:12">
      <c r="B156" s="11" t="str">
        <f t="shared" si="10"/>
        <v>6</v>
      </c>
      <c r="C156" s="12" t="str">
        <f t="shared" si="11"/>
        <v>1</v>
      </c>
      <c r="D156" s="12" t="str">
        <f t="shared" ca="1" si="12"/>
        <v>3</v>
      </c>
      <c r="E156" s="13" t="str">
        <f t="shared" ca="1" si="13"/>
        <v>0</v>
      </c>
      <c r="F156" s="18" t="s">
        <v>215</v>
      </c>
      <c r="G156" s="15" t="s">
        <v>29</v>
      </c>
      <c r="H156" s="10" t="s">
        <v>59</v>
      </c>
      <c r="I156" s="10" t="s">
        <v>180</v>
      </c>
      <c r="J156" s="10" t="s">
        <v>59</v>
      </c>
      <c r="K156" s="10" t="s">
        <v>211</v>
      </c>
      <c r="L156" s="10"/>
    </row>
    <row r="157" spans="2:12">
      <c r="B157" s="11" t="str">
        <f t="shared" si="10"/>
        <v>6</v>
      </c>
      <c r="C157" s="12" t="str">
        <f t="shared" si="11"/>
        <v>1</v>
      </c>
      <c r="D157" s="12" t="str">
        <f t="shared" ca="1" si="12"/>
        <v>3</v>
      </c>
      <c r="E157" s="13" t="str">
        <f t="shared" ca="1" si="13"/>
        <v>0</v>
      </c>
      <c r="F157" s="18" t="s">
        <v>215</v>
      </c>
      <c r="G157" s="15" t="s">
        <v>30</v>
      </c>
      <c r="H157" s="10" t="s">
        <v>59</v>
      </c>
      <c r="I157" s="10" t="s">
        <v>180</v>
      </c>
      <c r="J157" s="10" t="s">
        <v>59</v>
      </c>
      <c r="K157" s="10" t="s">
        <v>211</v>
      </c>
      <c r="L157" s="10"/>
    </row>
    <row r="158" spans="2:12">
      <c r="B158" s="11" t="str">
        <f t="shared" si="10"/>
        <v>6</v>
      </c>
      <c r="C158" s="12" t="str">
        <f t="shared" si="11"/>
        <v>1</v>
      </c>
      <c r="D158" s="12" t="str">
        <f t="shared" ca="1" si="12"/>
        <v>3</v>
      </c>
      <c r="E158" s="13" t="str">
        <f t="shared" ca="1" si="13"/>
        <v>0</v>
      </c>
      <c r="F158" s="18" t="s">
        <v>215</v>
      </c>
      <c r="G158" s="15" t="s">
        <v>260</v>
      </c>
      <c r="H158" s="10" t="s">
        <v>59</v>
      </c>
      <c r="I158" s="10" t="s">
        <v>180</v>
      </c>
      <c r="J158" s="10" t="s">
        <v>59</v>
      </c>
      <c r="K158" s="10" t="s">
        <v>211</v>
      </c>
      <c r="L158" s="10"/>
    </row>
    <row r="159" spans="2:12">
      <c r="B159" s="11" t="str">
        <f t="shared" si="10"/>
        <v>6</v>
      </c>
      <c r="C159" s="12" t="str">
        <f t="shared" si="11"/>
        <v>1</v>
      </c>
      <c r="D159" s="12" t="str">
        <f t="shared" ca="1" si="12"/>
        <v>4</v>
      </c>
      <c r="E159" s="13" t="str">
        <f t="shared" ca="1" si="13"/>
        <v>0</v>
      </c>
      <c r="F159" s="18" t="s">
        <v>219</v>
      </c>
      <c r="G159" s="15" t="s">
        <v>1150</v>
      </c>
      <c r="H159" s="10" t="s">
        <v>59</v>
      </c>
      <c r="I159" s="10" t="s">
        <v>180</v>
      </c>
      <c r="J159" s="10" t="s">
        <v>181</v>
      </c>
      <c r="K159" s="10" t="s">
        <v>211</v>
      </c>
      <c r="L159" s="10" t="s">
        <v>1148</v>
      </c>
    </row>
    <row r="160" spans="2:12">
      <c r="B160" s="11" t="str">
        <f t="shared" si="10"/>
        <v>6</v>
      </c>
      <c r="C160" s="12" t="str">
        <f t="shared" si="11"/>
        <v>2</v>
      </c>
      <c r="D160" s="12" t="str">
        <f t="shared" ca="1" si="12"/>
        <v>0</v>
      </c>
      <c r="E160" s="13" t="str">
        <f t="shared" ca="1" si="13"/>
        <v>0</v>
      </c>
      <c r="F160" s="18" t="s">
        <v>259</v>
      </c>
      <c r="G160" s="15" t="s">
        <v>1158</v>
      </c>
      <c r="H160" s="10" t="s">
        <v>59</v>
      </c>
      <c r="I160" s="10" t="s">
        <v>185</v>
      </c>
      <c r="J160" s="10" t="s">
        <v>211</v>
      </c>
      <c r="K160" s="10" t="s">
        <v>211</v>
      </c>
      <c r="L160" s="10"/>
    </row>
    <row r="161" spans="2:12">
      <c r="B161" s="11" t="str">
        <f t="shared" si="10"/>
        <v>6</v>
      </c>
      <c r="C161" s="12" t="str">
        <f t="shared" si="11"/>
        <v>2</v>
      </c>
      <c r="D161" s="12" t="str">
        <f t="shared" ca="1" si="12"/>
        <v>0</v>
      </c>
      <c r="E161" s="13" t="str">
        <f t="shared" ca="1" si="13"/>
        <v>1</v>
      </c>
      <c r="F161" s="18" t="s">
        <v>219</v>
      </c>
      <c r="G161" s="15" t="s">
        <v>1162</v>
      </c>
      <c r="H161" s="10" t="s">
        <v>59</v>
      </c>
      <c r="I161" s="10" t="s">
        <v>185</v>
      </c>
      <c r="J161" s="10" t="s">
        <v>211</v>
      </c>
      <c r="K161" s="10" t="s">
        <v>1155</v>
      </c>
      <c r="L161" s="10" t="s">
        <v>1148</v>
      </c>
    </row>
    <row r="162" spans="2:12">
      <c r="B162" s="11" t="str">
        <f t="shared" si="10"/>
        <v>6</v>
      </c>
      <c r="C162" s="12" t="str">
        <f t="shared" si="11"/>
        <v>2</v>
      </c>
      <c r="D162" s="12" t="str">
        <f t="shared" ca="1" si="12"/>
        <v>0</v>
      </c>
      <c r="E162" s="13" t="str">
        <f t="shared" ca="1" si="13"/>
        <v>2</v>
      </c>
      <c r="F162" s="18" t="s">
        <v>219</v>
      </c>
      <c r="G162" s="15" t="s">
        <v>1163</v>
      </c>
      <c r="H162" s="10" t="s">
        <v>59</v>
      </c>
      <c r="I162" s="10" t="s">
        <v>185</v>
      </c>
      <c r="J162" s="10" t="s">
        <v>211</v>
      </c>
      <c r="K162" s="10" t="s">
        <v>169</v>
      </c>
      <c r="L162" s="10" t="s">
        <v>1148</v>
      </c>
    </row>
    <row r="163" spans="2:12">
      <c r="B163" s="11" t="str">
        <f t="shared" si="10"/>
        <v>7</v>
      </c>
      <c r="C163" s="12" t="str">
        <f t="shared" si="11"/>
        <v>0</v>
      </c>
      <c r="D163" s="12" t="str">
        <f t="shared" ca="1" si="12"/>
        <v>0</v>
      </c>
      <c r="E163" s="13" t="str">
        <f t="shared" ca="1" si="13"/>
        <v>0</v>
      </c>
      <c r="F163" s="18" t="s">
        <v>259</v>
      </c>
      <c r="G163" s="15"/>
      <c r="H163" s="10" t="s">
        <v>168</v>
      </c>
      <c r="I163" s="10" t="s">
        <v>162</v>
      </c>
      <c r="J163" s="10" t="s">
        <v>211</v>
      </c>
      <c r="K163" s="10" t="s">
        <v>211</v>
      </c>
      <c r="L163" s="10"/>
    </row>
    <row r="164" spans="2:12">
      <c r="B164" s="11" t="str">
        <f t="shared" si="10"/>
        <v>7</v>
      </c>
      <c r="C164" s="12" t="str">
        <f t="shared" si="11"/>
        <v>0</v>
      </c>
      <c r="D164" s="12" t="str">
        <f t="shared" ca="1" si="12"/>
        <v>0</v>
      </c>
      <c r="E164" s="13" t="str">
        <f t="shared" ca="1" si="13"/>
        <v>0</v>
      </c>
      <c r="F164" s="18" t="s">
        <v>259</v>
      </c>
      <c r="G164" s="15" t="s">
        <v>261</v>
      </c>
      <c r="H164" s="10" t="s">
        <v>168</v>
      </c>
      <c r="I164" s="10" t="s">
        <v>162</v>
      </c>
      <c r="J164" s="10" t="s">
        <v>211</v>
      </c>
      <c r="K164" s="10" t="s">
        <v>211</v>
      </c>
      <c r="L164" s="10"/>
    </row>
    <row r="165" spans="2:12">
      <c r="B165" s="11" t="str">
        <f t="shared" si="10"/>
        <v>7</v>
      </c>
      <c r="C165" s="12" t="str">
        <f t="shared" si="11"/>
        <v>0</v>
      </c>
      <c r="D165" s="12" t="str">
        <f t="shared" ca="1" si="12"/>
        <v>0</v>
      </c>
      <c r="E165" s="13" t="str">
        <f t="shared" ca="1" si="13"/>
        <v>0</v>
      </c>
      <c r="F165" s="18" t="s">
        <v>219</v>
      </c>
      <c r="G165" s="16" t="s">
        <v>225</v>
      </c>
      <c r="H165" s="10" t="s">
        <v>168</v>
      </c>
      <c r="I165" s="10" t="s">
        <v>162</v>
      </c>
      <c r="J165" s="10" t="s">
        <v>211</v>
      </c>
      <c r="K165" s="10" t="s">
        <v>211</v>
      </c>
      <c r="L165" s="10"/>
    </row>
    <row r="166" spans="2:12">
      <c r="B166" s="11" t="str">
        <f t="shared" si="10"/>
        <v>7</v>
      </c>
      <c r="C166" s="12" t="str">
        <f t="shared" si="11"/>
        <v>1</v>
      </c>
      <c r="D166" s="12" t="str">
        <f t="shared" ca="1" si="12"/>
        <v>1</v>
      </c>
      <c r="E166" s="13" t="str">
        <f t="shared" ca="1" si="13"/>
        <v>0</v>
      </c>
      <c r="F166" s="18" t="s">
        <v>219</v>
      </c>
      <c r="G166" s="15" t="s">
        <v>772</v>
      </c>
      <c r="H166" s="10" t="s">
        <v>168</v>
      </c>
      <c r="I166" s="10" t="s">
        <v>180</v>
      </c>
      <c r="J166" s="10" t="s">
        <v>61</v>
      </c>
      <c r="K166" s="10" t="s">
        <v>211</v>
      </c>
      <c r="L166" s="10" t="s">
        <v>218</v>
      </c>
    </row>
    <row r="167" spans="2:12">
      <c r="B167" s="11" t="str">
        <f t="shared" si="10"/>
        <v>7</v>
      </c>
      <c r="C167" s="12" t="str">
        <f t="shared" si="11"/>
        <v>1</v>
      </c>
      <c r="D167" s="12" t="str">
        <f t="shared" ca="1" si="12"/>
        <v>1</v>
      </c>
      <c r="E167" s="13" t="str">
        <f t="shared" ca="1" si="13"/>
        <v>0</v>
      </c>
      <c r="F167" s="18" t="s">
        <v>215</v>
      </c>
      <c r="G167" s="15" t="s">
        <v>0</v>
      </c>
      <c r="H167" s="10" t="s">
        <v>168</v>
      </c>
      <c r="I167" s="10" t="s">
        <v>180</v>
      </c>
      <c r="J167" s="10" t="s">
        <v>61</v>
      </c>
      <c r="K167" s="10" t="s">
        <v>211</v>
      </c>
      <c r="L167" s="10"/>
    </row>
    <row r="168" spans="2:12">
      <c r="B168" s="11" t="str">
        <f t="shared" si="10"/>
        <v>7</v>
      </c>
      <c r="C168" s="12" t="str">
        <f t="shared" si="11"/>
        <v>1</v>
      </c>
      <c r="D168" s="12" t="str">
        <f t="shared" ca="1" si="12"/>
        <v>1</v>
      </c>
      <c r="E168" s="13" t="str">
        <f t="shared" ca="1" si="13"/>
        <v>0</v>
      </c>
      <c r="F168" s="18" t="s">
        <v>215</v>
      </c>
      <c r="G168" s="15" t="s">
        <v>1</v>
      </c>
      <c r="H168" s="10" t="s">
        <v>168</v>
      </c>
      <c r="I168" s="10" t="s">
        <v>180</v>
      </c>
      <c r="J168" s="10" t="s">
        <v>61</v>
      </c>
      <c r="K168" s="10" t="s">
        <v>211</v>
      </c>
      <c r="L168" s="10"/>
    </row>
    <row r="169" spans="2:12">
      <c r="B169" s="11" t="str">
        <f t="shared" si="10"/>
        <v>7</v>
      </c>
      <c r="C169" s="12" t="str">
        <f t="shared" si="11"/>
        <v>1</v>
      </c>
      <c r="D169" s="12" t="str">
        <f t="shared" ca="1" si="12"/>
        <v>1</v>
      </c>
      <c r="E169" s="13" t="str">
        <f t="shared" ca="1" si="13"/>
        <v>0</v>
      </c>
      <c r="F169" s="18" t="s">
        <v>215</v>
      </c>
      <c r="G169" s="15" t="s">
        <v>2</v>
      </c>
      <c r="H169" s="10" t="s">
        <v>168</v>
      </c>
      <c r="I169" s="10" t="s">
        <v>180</v>
      </c>
      <c r="J169" s="10" t="s">
        <v>61</v>
      </c>
      <c r="K169" s="10" t="s">
        <v>211</v>
      </c>
      <c r="L169" s="10"/>
    </row>
    <row r="170" spans="2:12">
      <c r="B170" s="11" t="str">
        <f t="shared" si="10"/>
        <v>7</v>
      </c>
      <c r="C170" s="12" t="str">
        <f t="shared" si="11"/>
        <v>1</v>
      </c>
      <c r="D170" s="12" t="str">
        <f t="shared" ca="1" si="12"/>
        <v>1</v>
      </c>
      <c r="E170" s="13" t="str">
        <f t="shared" ca="1" si="13"/>
        <v>0</v>
      </c>
      <c r="F170" s="18" t="s">
        <v>215</v>
      </c>
      <c r="G170" s="15" t="s">
        <v>3</v>
      </c>
      <c r="H170" s="10" t="s">
        <v>168</v>
      </c>
      <c r="I170" s="10" t="s">
        <v>180</v>
      </c>
      <c r="J170" s="10" t="s">
        <v>61</v>
      </c>
      <c r="K170" s="10" t="s">
        <v>211</v>
      </c>
      <c r="L170" s="10"/>
    </row>
    <row r="171" spans="2:12">
      <c r="B171" s="11" t="str">
        <f t="shared" si="10"/>
        <v>7</v>
      </c>
      <c r="C171" s="12" t="str">
        <f t="shared" si="11"/>
        <v>1</v>
      </c>
      <c r="D171" s="12" t="str">
        <f t="shared" ca="1" si="12"/>
        <v>1</v>
      </c>
      <c r="E171" s="13" t="str">
        <f t="shared" ca="1" si="13"/>
        <v>0</v>
      </c>
      <c r="F171" s="18" t="s">
        <v>215</v>
      </c>
      <c r="G171" s="15" t="s">
        <v>4</v>
      </c>
      <c r="H171" s="10" t="s">
        <v>168</v>
      </c>
      <c r="I171" s="10" t="s">
        <v>180</v>
      </c>
      <c r="J171" s="10" t="s">
        <v>61</v>
      </c>
      <c r="K171" s="10" t="s">
        <v>211</v>
      </c>
      <c r="L171" s="10"/>
    </row>
    <row r="172" spans="2:12">
      <c r="B172" s="11" t="str">
        <f t="shared" si="10"/>
        <v>7</v>
      </c>
      <c r="C172" s="12" t="str">
        <f t="shared" si="11"/>
        <v>1</v>
      </c>
      <c r="D172" s="12" t="str">
        <f t="shared" ca="1" si="12"/>
        <v>1</v>
      </c>
      <c r="E172" s="13" t="str">
        <f t="shared" ca="1" si="13"/>
        <v>0</v>
      </c>
      <c r="F172" s="18" t="s">
        <v>215</v>
      </c>
      <c r="G172" s="15" t="s">
        <v>5</v>
      </c>
      <c r="H172" s="10" t="s">
        <v>168</v>
      </c>
      <c r="I172" s="10" t="s">
        <v>180</v>
      </c>
      <c r="J172" s="10" t="s">
        <v>61</v>
      </c>
      <c r="K172" s="10" t="s">
        <v>211</v>
      </c>
      <c r="L172" s="10"/>
    </row>
    <row r="173" spans="2:12">
      <c r="B173" s="11" t="str">
        <f t="shared" si="10"/>
        <v>7</v>
      </c>
      <c r="C173" s="12" t="str">
        <f t="shared" si="11"/>
        <v>1</v>
      </c>
      <c r="D173" s="12" t="str">
        <f t="shared" ca="1" si="12"/>
        <v>1</v>
      </c>
      <c r="E173" s="13" t="str">
        <f t="shared" ca="1" si="13"/>
        <v>0</v>
      </c>
      <c r="F173" s="18" t="s">
        <v>215</v>
      </c>
      <c r="G173" s="15" t="s">
        <v>6</v>
      </c>
      <c r="H173" s="10" t="s">
        <v>168</v>
      </c>
      <c r="I173" s="10" t="s">
        <v>180</v>
      </c>
      <c r="J173" s="10" t="s">
        <v>61</v>
      </c>
      <c r="K173" s="10" t="s">
        <v>211</v>
      </c>
      <c r="L173" s="10"/>
    </row>
    <row r="174" spans="2:12">
      <c r="B174" s="11" t="str">
        <f t="shared" si="10"/>
        <v>7</v>
      </c>
      <c r="C174" s="12" t="str">
        <f t="shared" si="11"/>
        <v>1</v>
      </c>
      <c r="D174" s="12" t="str">
        <f t="shared" ca="1" si="12"/>
        <v>1</v>
      </c>
      <c r="E174" s="13" t="str">
        <f t="shared" ca="1" si="13"/>
        <v>0</v>
      </c>
      <c r="F174" s="18" t="s">
        <v>215</v>
      </c>
      <c r="G174" s="15" t="s">
        <v>7</v>
      </c>
      <c r="H174" s="10" t="s">
        <v>168</v>
      </c>
      <c r="I174" s="10" t="s">
        <v>180</v>
      </c>
      <c r="J174" s="10" t="s">
        <v>61</v>
      </c>
      <c r="K174" s="10" t="s">
        <v>211</v>
      </c>
      <c r="L174" s="10"/>
    </row>
    <row r="175" spans="2:12">
      <c r="B175" s="11" t="str">
        <f t="shared" si="10"/>
        <v>7</v>
      </c>
      <c r="C175" s="12" t="str">
        <f t="shared" si="11"/>
        <v>1</v>
      </c>
      <c r="D175" s="12" t="str">
        <f t="shared" ca="1" si="12"/>
        <v>1</v>
      </c>
      <c r="E175" s="13" t="str">
        <f t="shared" ca="1" si="13"/>
        <v>0</v>
      </c>
      <c r="F175" s="18" t="s">
        <v>215</v>
      </c>
      <c r="G175" s="15" t="s">
        <v>8</v>
      </c>
      <c r="H175" s="10" t="s">
        <v>168</v>
      </c>
      <c r="I175" s="10" t="s">
        <v>180</v>
      </c>
      <c r="J175" s="10" t="s">
        <v>61</v>
      </c>
      <c r="K175" s="10" t="s">
        <v>211</v>
      </c>
      <c r="L175" s="10"/>
    </row>
    <row r="176" spans="2:12">
      <c r="B176" s="11" t="str">
        <f t="shared" si="10"/>
        <v>7</v>
      </c>
      <c r="C176" s="12" t="str">
        <f t="shared" si="11"/>
        <v>1</v>
      </c>
      <c r="D176" s="12" t="str">
        <f t="shared" ca="1" si="12"/>
        <v>1</v>
      </c>
      <c r="E176" s="13" t="str">
        <f t="shared" ca="1" si="13"/>
        <v>0</v>
      </c>
      <c r="F176" s="18" t="s">
        <v>215</v>
      </c>
      <c r="G176" s="15" t="s">
        <v>9</v>
      </c>
      <c r="H176" s="10" t="s">
        <v>168</v>
      </c>
      <c r="I176" s="10" t="s">
        <v>180</v>
      </c>
      <c r="J176" s="10" t="s">
        <v>61</v>
      </c>
      <c r="K176" s="10" t="s">
        <v>211</v>
      </c>
      <c r="L176" s="10"/>
    </row>
    <row r="177" spans="2:12">
      <c r="B177" s="11" t="str">
        <f t="shared" si="10"/>
        <v>7</v>
      </c>
      <c r="C177" s="12" t="str">
        <f t="shared" si="11"/>
        <v>1</v>
      </c>
      <c r="D177" s="12" t="str">
        <f t="shared" ca="1" si="12"/>
        <v>2</v>
      </c>
      <c r="E177" s="13" t="str">
        <f t="shared" ca="1" si="13"/>
        <v>0</v>
      </c>
      <c r="F177" s="18" t="s">
        <v>219</v>
      </c>
      <c r="G177" s="15" t="s">
        <v>774</v>
      </c>
      <c r="H177" s="10" t="s">
        <v>168</v>
      </c>
      <c r="I177" s="10" t="s">
        <v>180</v>
      </c>
      <c r="J177" s="10" t="s">
        <v>88</v>
      </c>
      <c r="K177" s="10" t="s">
        <v>211</v>
      </c>
      <c r="L177" s="10" t="s">
        <v>218</v>
      </c>
    </row>
    <row r="178" spans="2:12">
      <c r="B178" s="11" t="str">
        <f t="shared" si="10"/>
        <v>7</v>
      </c>
      <c r="C178" s="12" t="str">
        <f t="shared" si="11"/>
        <v>1</v>
      </c>
      <c r="D178" s="12" t="str">
        <f t="shared" ca="1" si="12"/>
        <v>2</v>
      </c>
      <c r="E178" s="13" t="str">
        <f t="shared" ca="1" si="13"/>
        <v>0</v>
      </c>
      <c r="F178" s="18" t="s">
        <v>215</v>
      </c>
      <c r="G178" s="15" t="s">
        <v>108</v>
      </c>
      <c r="H178" s="10" t="s">
        <v>168</v>
      </c>
      <c r="I178" s="10" t="s">
        <v>180</v>
      </c>
      <c r="J178" s="10" t="s">
        <v>88</v>
      </c>
      <c r="K178" s="10" t="s">
        <v>211</v>
      </c>
      <c r="L178" s="10"/>
    </row>
    <row r="179" spans="2:12">
      <c r="B179" s="11" t="str">
        <f t="shared" si="10"/>
        <v>7</v>
      </c>
      <c r="C179" s="12" t="str">
        <f t="shared" si="11"/>
        <v>1</v>
      </c>
      <c r="D179" s="12" t="str">
        <f t="shared" ca="1" si="12"/>
        <v>2</v>
      </c>
      <c r="E179" s="13" t="str">
        <f t="shared" ca="1" si="13"/>
        <v>0</v>
      </c>
      <c r="F179" s="18" t="s">
        <v>215</v>
      </c>
      <c r="G179" s="15" t="s">
        <v>90</v>
      </c>
      <c r="H179" s="10" t="s">
        <v>168</v>
      </c>
      <c r="I179" s="10" t="s">
        <v>180</v>
      </c>
      <c r="J179" s="10" t="s">
        <v>88</v>
      </c>
      <c r="K179" s="10" t="s">
        <v>211</v>
      </c>
      <c r="L179" s="10"/>
    </row>
    <row r="180" spans="2:12">
      <c r="B180" s="11" t="str">
        <f t="shared" si="10"/>
        <v>7</v>
      </c>
      <c r="C180" s="12" t="str">
        <f t="shared" si="11"/>
        <v>1</v>
      </c>
      <c r="D180" s="12" t="str">
        <f t="shared" ca="1" si="12"/>
        <v>2</v>
      </c>
      <c r="E180" s="13" t="str">
        <f t="shared" ca="1" si="13"/>
        <v>0</v>
      </c>
      <c r="F180" s="18" t="s">
        <v>215</v>
      </c>
      <c r="G180" s="15" t="s">
        <v>91</v>
      </c>
      <c r="H180" s="10" t="s">
        <v>168</v>
      </c>
      <c r="I180" s="10" t="s">
        <v>180</v>
      </c>
      <c r="J180" s="10" t="s">
        <v>88</v>
      </c>
      <c r="K180" s="10" t="s">
        <v>211</v>
      </c>
      <c r="L180" s="10"/>
    </row>
    <row r="181" spans="2:12">
      <c r="B181" s="11" t="str">
        <f t="shared" si="10"/>
        <v>7</v>
      </c>
      <c r="C181" s="12" t="str">
        <f t="shared" si="11"/>
        <v>1</v>
      </c>
      <c r="D181" s="12" t="str">
        <f t="shared" ca="1" si="12"/>
        <v>2</v>
      </c>
      <c r="E181" s="13" t="str">
        <f t="shared" ca="1" si="13"/>
        <v>0</v>
      </c>
      <c r="F181" s="18" t="s">
        <v>215</v>
      </c>
      <c r="G181" s="15" t="s">
        <v>109</v>
      </c>
      <c r="H181" s="10" t="s">
        <v>168</v>
      </c>
      <c r="I181" s="10" t="s">
        <v>180</v>
      </c>
      <c r="J181" s="10" t="s">
        <v>88</v>
      </c>
      <c r="K181" s="10" t="s">
        <v>211</v>
      </c>
      <c r="L181" s="10"/>
    </row>
    <row r="182" spans="2:12">
      <c r="B182" s="11" t="str">
        <f t="shared" si="10"/>
        <v>7</v>
      </c>
      <c r="C182" s="12" t="str">
        <f t="shared" si="11"/>
        <v>1</v>
      </c>
      <c r="D182" s="12" t="str">
        <f t="shared" ca="1" si="12"/>
        <v>2</v>
      </c>
      <c r="E182" s="13" t="str">
        <f t="shared" ca="1" si="13"/>
        <v>0</v>
      </c>
      <c r="F182" s="18" t="s">
        <v>215</v>
      </c>
      <c r="G182" s="15" t="s">
        <v>92</v>
      </c>
      <c r="H182" s="10" t="s">
        <v>168</v>
      </c>
      <c r="I182" s="10" t="s">
        <v>180</v>
      </c>
      <c r="J182" s="10" t="s">
        <v>88</v>
      </c>
      <c r="K182" s="10" t="s">
        <v>211</v>
      </c>
      <c r="L182" s="10"/>
    </row>
    <row r="183" spans="2:12">
      <c r="B183" s="11" t="str">
        <f t="shared" si="10"/>
        <v>7</v>
      </c>
      <c r="C183" s="12" t="str">
        <f t="shared" si="11"/>
        <v>1</v>
      </c>
      <c r="D183" s="12" t="str">
        <f t="shared" ca="1" si="12"/>
        <v>2</v>
      </c>
      <c r="E183" s="13" t="str">
        <f t="shared" ca="1" si="13"/>
        <v>0</v>
      </c>
      <c r="F183" s="18" t="s">
        <v>215</v>
      </c>
      <c r="G183" s="15" t="s">
        <v>93</v>
      </c>
      <c r="H183" s="10" t="s">
        <v>168</v>
      </c>
      <c r="I183" s="10" t="s">
        <v>180</v>
      </c>
      <c r="J183" s="10" t="s">
        <v>88</v>
      </c>
      <c r="K183" s="10" t="s">
        <v>211</v>
      </c>
      <c r="L183" s="10"/>
    </row>
    <row r="184" spans="2:12">
      <c r="B184" s="11" t="str">
        <f t="shared" si="10"/>
        <v>7</v>
      </c>
      <c r="C184" s="12" t="str">
        <f t="shared" si="11"/>
        <v>1</v>
      </c>
      <c r="D184" s="12" t="str">
        <f t="shared" ca="1" si="12"/>
        <v>2</v>
      </c>
      <c r="E184" s="13" t="str">
        <f t="shared" ca="1" si="13"/>
        <v>0</v>
      </c>
      <c r="F184" s="18" t="s">
        <v>215</v>
      </c>
      <c r="G184" s="15" t="s">
        <v>110</v>
      </c>
      <c r="H184" s="10" t="s">
        <v>168</v>
      </c>
      <c r="I184" s="10" t="s">
        <v>180</v>
      </c>
      <c r="J184" s="10" t="s">
        <v>88</v>
      </c>
      <c r="K184" s="10" t="s">
        <v>211</v>
      </c>
      <c r="L184" s="10"/>
    </row>
    <row r="185" spans="2:12">
      <c r="B185" s="11" t="str">
        <f t="shared" si="10"/>
        <v>7</v>
      </c>
      <c r="C185" s="12" t="str">
        <f t="shared" si="11"/>
        <v>1</v>
      </c>
      <c r="D185" s="12" t="str">
        <f t="shared" ca="1" si="12"/>
        <v>2</v>
      </c>
      <c r="E185" s="13" t="str">
        <f t="shared" ca="1" si="13"/>
        <v>0</v>
      </c>
      <c r="F185" s="18" t="s">
        <v>215</v>
      </c>
      <c r="G185" s="15" t="s">
        <v>94</v>
      </c>
      <c r="H185" s="10" t="s">
        <v>168</v>
      </c>
      <c r="I185" s="10" t="s">
        <v>180</v>
      </c>
      <c r="J185" s="10" t="s">
        <v>88</v>
      </c>
      <c r="K185" s="10" t="s">
        <v>211</v>
      </c>
      <c r="L185" s="10"/>
    </row>
    <row r="186" spans="2:12">
      <c r="B186" s="11" t="str">
        <f t="shared" si="10"/>
        <v>7</v>
      </c>
      <c r="C186" s="12" t="str">
        <f t="shared" si="11"/>
        <v>1</v>
      </c>
      <c r="D186" s="12" t="str">
        <f t="shared" ca="1" si="12"/>
        <v>2</v>
      </c>
      <c r="E186" s="13" t="str">
        <f t="shared" ca="1" si="13"/>
        <v>0</v>
      </c>
      <c r="F186" s="18" t="s">
        <v>215</v>
      </c>
      <c r="G186" s="15" t="s">
        <v>95</v>
      </c>
      <c r="H186" s="10" t="s">
        <v>168</v>
      </c>
      <c r="I186" s="10" t="s">
        <v>180</v>
      </c>
      <c r="J186" s="10" t="s">
        <v>88</v>
      </c>
      <c r="K186" s="10" t="s">
        <v>211</v>
      </c>
      <c r="L186" s="10"/>
    </row>
    <row r="187" spans="2:12">
      <c r="B187" s="11" t="str">
        <f t="shared" si="10"/>
        <v>7</v>
      </c>
      <c r="C187" s="12" t="str">
        <f t="shared" si="11"/>
        <v>1</v>
      </c>
      <c r="D187" s="12" t="str">
        <f t="shared" ca="1" si="12"/>
        <v>3</v>
      </c>
      <c r="E187" s="13" t="str">
        <f t="shared" ca="1" si="13"/>
        <v>0</v>
      </c>
      <c r="F187" s="18" t="s">
        <v>219</v>
      </c>
      <c r="G187" s="15" t="s">
        <v>1123</v>
      </c>
      <c r="H187" s="10" t="s">
        <v>168</v>
      </c>
      <c r="I187" s="10" t="s">
        <v>180</v>
      </c>
      <c r="J187" s="10" t="s">
        <v>89</v>
      </c>
      <c r="K187" s="10" t="s">
        <v>211</v>
      </c>
      <c r="L187" s="10"/>
    </row>
    <row r="188" spans="2:12">
      <c r="B188" s="11" t="str">
        <f t="shared" si="10"/>
        <v>7</v>
      </c>
      <c r="C188" s="12" t="str">
        <f t="shared" si="11"/>
        <v>1</v>
      </c>
      <c r="D188" s="12" t="str">
        <f t="shared" ca="1" si="12"/>
        <v>3</v>
      </c>
      <c r="E188" s="13" t="str">
        <f t="shared" ca="1" si="13"/>
        <v>0</v>
      </c>
      <c r="F188" s="18" t="s">
        <v>215</v>
      </c>
      <c r="G188" s="15" t="s">
        <v>96</v>
      </c>
      <c r="H188" s="10" t="s">
        <v>168</v>
      </c>
      <c r="I188" s="10" t="s">
        <v>180</v>
      </c>
      <c r="J188" s="10" t="s">
        <v>89</v>
      </c>
      <c r="K188" s="10" t="s">
        <v>211</v>
      </c>
      <c r="L188" s="10"/>
    </row>
    <row r="189" spans="2:12">
      <c r="B189" s="11" t="str">
        <f t="shared" si="10"/>
        <v>7</v>
      </c>
      <c r="C189" s="12" t="str">
        <f t="shared" si="11"/>
        <v>1</v>
      </c>
      <c r="D189" s="12" t="str">
        <f t="shared" ca="1" si="12"/>
        <v>3</v>
      </c>
      <c r="E189" s="13" t="str">
        <f t="shared" ca="1" si="13"/>
        <v>0</v>
      </c>
      <c r="F189" s="18" t="s">
        <v>215</v>
      </c>
      <c r="G189" s="15" t="s">
        <v>97</v>
      </c>
      <c r="H189" s="10" t="s">
        <v>168</v>
      </c>
      <c r="I189" s="10" t="s">
        <v>180</v>
      </c>
      <c r="J189" s="10" t="s">
        <v>89</v>
      </c>
      <c r="K189" s="10" t="s">
        <v>211</v>
      </c>
      <c r="L189" s="10"/>
    </row>
    <row r="190" spans="2:12">
      <c r="B190" s="11" t="str">
        <f t="shared" si="10"/>
        <v>7</v>
      </c>
      <c r="C190" s="12" t="str">
        <f t="shared" si="11"/>
        <v>1</v>
      </c>
      <c r="D190" s="12" t="str">
        <f t="shared" ca="1" si="12"/>
        <v>3</v>
      </c>
      <c r="E190" s="13" t="str">
        <f t="shared" ca="1" si="13"/>
        <v>0</v>
      </c>
      <c r="F190" s="18" t="s">
        <v>215</v>
      </c>
      <c r="G190" s="15" t="s">
        <v>98</v>
      </c>
      <c r="H190" s="10" t="s">
        <v>168</v>
      </c>
      <c r="I190" s="10" t="s">
        <v>180</v>
      </c>
      <c r="J190" s="10" t="s">
        <v>89</v>
      </c>
      <c r="K190" s="10" t="s">
        <v>211</v>
      </c>
      <c r="L190" s="10"/>
    </row>
    <row r="191" spans="2:12">
      <c r="B191" s="11" t="str">
        <f t="shared" si="10"/>
        <v>7</v>
      </c>
      <c r="C191" s="12" t="str">
        <f t="shared" si="11"/>
        <v>1</v>
      </c>
      <c r="D191" s="12" t="str">
        <f t="shared" ca="1" si="12"/>
        <v>3</v>
      </c>
      <c r="E191" s="13" t="str">
        <f t="shared" ca="1" si="13"/>
        <v>0</v>
      </c>
      <c r="F191" s="18" t="s">
        <v>215</v>
      </c>
      <c r="G191" s="15" t="s">
        <v>99</v>
      </c>
      <c r="H191" s="10" t="s">
        <v>168</v>
      </c>
      <c r="I191" s="10" t="s">
        <v>180</v>
      </c>
      <c r="J191" s="10" t="s">
        <v>89</v>
      </c>
      <c r="K191" s="10" t="s">
        <v>211</v>
      </c>
      <c r="L191" s="10"/>
    </row>
    <row r="192" spans="2:12">
      <c r="B192" s="11" t="str">
        <f t="shared" si="10"/>
        <v>7</v>
      </c>
      <c r="C192" s="12" t="str">
        <f t="shared" si="11"/>
        <v>1</v>
      </c>
      <c r="D192" s="12" t="str">
        <f t="shared" ca="1" si="12"/>
        <v>3</v>
      </c>
      <c r="E192" s="13" t="str">
        <f t="shared" ca="1" si="13"/>
        <v>0</v>
      </c>
      <c r="F192" s="18" t="s">
        <v>215</v>
      </c>
      <c r="G192" s="15" t="s">
        <v>100</v>
      </c>
      <c r="H192" s="10" t="s">
        <v>168</v>
      </c>
      <c r="I192" s="10" t="s">
        <v>180</v>
      </c>
      <c r="J192" s="10" t="s">
        <v>89</v>
      </c>
      <c r="K192" s="10" t="s">
        <v>211</v>
      </c>
      <c r="L192" s="10"/>
    </row>
    <row r="193" spans="2:12">
      <c r="B193" s="11" t="str">
        <f t="shared" si="10"/>
        <v>7</v>
      </c>
      <c r="C193" s="12" t="str">
        <f t="shared" si="11"/>
        <v>1</v>
      </c>
      <c r="D193" s="12" t="str">
        <f t="shared" ca="1" si="12"/>
        <v>3</v>
      </c>
      <c r="E193" s="13" t="str">
        <f t="shared" ca="1" si="13"/>
        <v>0</v>
      </c>
      <c r="F193" s="18" t="s">
        <v>215</v>
      </c>
      <c r="G193" s="15" t="s">
        <v>101</v>
      </c>
      <c r="H193" s="10" t="s">
        <v>168</v>
      </c>
      <c r="I193" s="10" t="s">
        <v>180</v>
      </c>
      <c r="J193" s="10" t="s">
        <v>89</v>
      </c>
      <c r="K193" s="10" t="s">
        <v>211</v>
      </c>
      <c r="L193" s="10"/>
    </row>
    <row r="194" spans="2:12">
      <c r="B194" s="11" t="str">
        <f t="shared" si="10"/>
        <v>7</v>
      </c>
      <c r="C194" s="12" t="str">
        <f t="shared" si="11"/>
        <v>1</v>
      </c>
      <c r="D194" s="12" t="str">
        <f t="shared" ca="1" si="12"/>
        <v>3</v>
      </c>
      <c r="E194" s="13" t="str">
        <f t="shared" ca="1" si="13"/>
        <v>0</v>
      </c>
      <c r="F194" s="18" t="s">
        <v>215</v>
      </c>
      <c r="G194" s="15" t="s">
        <v>102</v>
      </c>
      <c r="H194" s="10" t="s">
        <v>168</v>
      </c>
      <c r="I194" s="10" t="s">
        <v>180</v>
      </c>
      <c r="J194" s="10" t="s">
        <v>89</v>
      </c>
      <c r="K194" s="10" t="s">
        <v>211</v>
      </c>
      <c r="L194" s="10"/>
    </row>
    <row r="195" spans="2:12">
      <c r="B195" s="11" t="str">
        <f t="shared" si="10"/>
        <v>7</v>
      </c>
      <c r="C195" s="12" t="str">
        <f t="shared" si="11"/>
        <v>1</v>
      </c>
      <c r="D195" s="12" t="str">
        <f t="shared" ca="1" si="12"/>
        <v>3</v>
      </c>
      <c r="E195" s="13" t="str">
        <f t="shared" ca="1" si="13"/>
        <v>0</v>
      </c>
      <c r="F195" s="18" t="s">
        <v>215</v>
      </c>
      <c r="G195" s="15" t="s">
        <v>103</v>
      </c>
      <c r="H195" s="10" t="s">
        <v>168</v>
      </c>
      <c r="I195" s="10" t="s">
        <v>180</v>
      </c>
      <c r="J195" s="10" t="s">
        <v>89</v>
      </c>
      <c r="K195" s="10" t="s">
        <v>211</v>
      </c>
      <c r="L195" s="10"/>
    </row>
    <row r="196" spans="2:12">
      <c r="B196" s="11" t="str">
        <f t="shared" si="10"/>
        <v>7</v>
      </c>
      <c r="C196" s="12" t="str">
        <f t="shared" si="11"/>
        <v>1</v>
      </c>
      <c r="D196" s="12" t="str">
        <f t="shared" ca="1" si="12"/>
        <v>3</v>
      </c>
      <c r="E196" s="13" t="str">
        <f t="shared" ca="1" si="13"/>
        <v>0</v>
      </c>
      <c r="F196" s="18" t="s">
        <v>215</v>
      </c>
      <c r="G196" s="15" t="s">
        <v>104</v>
      </c>
      <c r="H196" s="10" t="s">
        <v>168</v>
      </c>
      <c r="I196" s="10" t="s">
        <v>180</v>
      </c>
      <c r="J196" s="10" t="s">
        <v>89</v>
      </c>
      <c r="K196" s="10" t="s">
        <v>211</v>
      </c>
      <c r="L196" s="10"/>
    </row>
    <row r="197" spans="2:12">
      <c r="B197" s="11" t="str">
        <f t="shared" si="10"/>
        <v>7</v>
      </c>
      <c r="C197" s="12" t="str">
        <f t="shared" si="11"/>
        <v>2</v>
      </c>
      <c r="D197" s="12" t="str">
        <f t="shared" ca="1" si="12"/>
        <v>0</v>
      </c>
      <c r="E197" s="13" t="str">
        <f t="shared" ca="1" si="13"/>
        <v>0</v>
      </c>
      <c r="F197" s="18" t="s">
        <v>219</v>
      </c>
      <c r="G197" s="15" t="s">
        <v>1197</v>
      </c>
      <c r="H197" s="10" t="s">
        <v>168</v>
      </c>
      <c r="I197" s="10" t="s">
        <v>185</v>
      </c>
      <c r="J197" s="10" t="s">
        <v>211</v>
      </c>
      <c r="K197" s="10" t="s">
        <v>211</v>
      </c>
      <c r="L197" s="10" t="s">
        <v>1148</v>
      </c>
    </row>
    <row r="198" spans="2:12">
      <c r="B198" s="11" t="str">
        <f t="shared" si="10"/>
        <v>8</v>
      </c>
      <c r="C198" s="12" t="str">
        <f t="shared" si="11"/>
        <v>2</v>
      </c>
      <c r="D198" s="12" t="str">
        <f t="shared" ca="1" si="12"/>
        <v>0</v>
      </c>
      <c r="E198" s="13" t="str">
        <f t="shared" ca="1" si="13"/>
        <v>0</v>
      </c>
      <c r="F198" s="18" t="s">
        <v>259</v>
      </c>
      <c r="G198" s="15"/>
      <c r="H198" s="10" t="s">
        <v>1164</v>
      </c>
      <c r="I198" s="10" t="s">
        <v>185</v>
      </c>
      <c r="J198" s="10" t="s">
        <v>211</v>
      </c>
      <c r="K198" s="10" t="s">
        <v>211</v>
      </c>
      <c r="L198" s="10"/>
    </row>
    <row r="199" spans="2:12">
      <c r="B199" s="11" t="str">
        <f t="shared" si="10"/>
        <v>8</v>
      </c>
      <c r="C199" s="12" t="str">
        <f t="shared" si="11"/>
        <v>2</v>
      </c>
      <c r="D199" s="12" t="str">
        <f t="shared" ca="1" si="12"/>
        <v>0</v>
      </c>
      <c r="E199" s="13" t="str">
        <f t="shared" ca="1" si="13"/>
        <v>0</v>
      </c>
      <c r="F199" s="18" t="s">
        <v>259</v>
      </c>
      <c r="G199" s="15" t="s">
        <v>1159</v>
      </c>
      <c r="H199" s="10" t="s">
        <v>1164</v>
      </c>
      <c r="I199" s="10" t="s">
        <v>185</v>
      </c>
      <c r="J199" s="10" t="s">
        <v>211</v>
      </c>
      <c r="K199" s="10" t="s">
        <v>211</v>
      </c>
      <c r="L199" s="10"/>
    </row>
    <row r="200" spans="2:12">
      <c r="B200" s="11" t="str">
        <f t="shared" si="10"/>
        <v>8</v>
      </c>
      <c r="C200" s="12" t="str">
        <f t="shared" si="11"/>
        <v>2</v>
      </c>
      <c r="D200" s="12" t="str">
        <f t="shared" ca="1" si="12"/>
        <v>0</v>
      </c>
      <c r="E200" s="13" t="str">
        <f t="shared" ca="1" si="13"/>
        <v>0</v>
      </c>
      <c r="F200" s="18" t="s">
        <v>222</v>
      </c>
      <c r="G200" s="14" t="s">
        <v>1176</v>
      </c>
      <c r="H200" s="10" t="s">
        <v>1164</v>
      </c>
      <c r="I200" s="10" t="s">
        <v>185</v>
      </c>
      <c r="J200" s="10" t="s">
        <v>211</v>
      </c>
      <c r="K200" s="10" t="s">
        <v>211</v>
      </c>
      <c r="L200" s="10"/>
    </row>
    <row r="201" spans="2:12">
      <c r="B201" s="11" t="str">
        <f t="shared" si="10"/>
        <v/>
      </c>
      <c r="C201" s="12" t="str">
        <f t="shared" si="11"/>
        <v/>
      </c>
      <c r="D201" s="12" t="str">
        <f t="shared" ca="1" si="12"/>
        <v/>
      </c>
      <c r="E201" s="13" t="str">
        <f t="shared" ca="1" si="13"/>
        <v/>
      </c>
      <c r="F201" s="18"/>
      <c r="G201" s="14"/>
      <c r="H201" s="10"/>
      <c r="I201" s="10"/>
      <c r="J201" s="10"/>
      <c r="K201" s="10"/>
      <c r="L201" s="10"/>
    </row>
    <row r="202" spans="2:12">
      <c r="B202" s="11" t="str">
        <f t="shared" si="10"/>
        <v/>
      </c>
      <c r="C202" s="12" t="str">
        <f t="shared" si="11"/>
        <v/>
      </c>
      <c r="D202" s="12" t="str">
        <f t="shared" ca="1" si="12"/>
        <v/>
      </c>
      <c r="E202" s="13" t="str">
        <f t="shared" ca="1" si="13"/>
        <v/>
      </c>
      <c r="F202" s="18"/>
      <c r="G202" s="14"/>
      <c r="H202" s="10"/>
      <c r="I202" s="10"/>
      <c r="J202" s="10"/>
      <c r="K202" s="10"/>
      <c r="L202" s="10"/>
    </row>
    <row r="203" spans="2:12">
      <c r="B203" s="11" t="str">
        <f t="shared" si="10"/>
        <v/>
      </c>
      <c r="C203" s="12" t="str">
        <f t="shared" si="11"/>
        <v/>
      </c>
      <c r="D203" s="12" t="str">
        <f t="shared" ca="1" si="12"/>
        <v/>
      </c>
      <c r="E203" s="13" t="str">
        <f t="shared" ca="1" si="13"/>
        <v/>
      </c>
      <c r="F203" s="18"/>
      <c r="G203" s="14"/>
      <c r="H203" s="10"/>
      <c r="I203" s="10"/>
      <c r="J203" s="10"/>
      <c r="K203" s="10"/>
      <c r="L203" s="10"/>
    </row>
    <row r="204" spans="2:12">
      <c r="B204" s="11" t="str">
        <f t="shared" ref="B204:B234" si="14">IFERROR(DEC2HEX(MATCH($H204,Mainリスト,FALSE)-1,1),"")</f>
        <v/>
      </c>
      <c r="C204" s="12" t="str">
        <f t="shared" ref="C204:C234" si="15">IFERROR(DEC2HEX(MATCH($I204,Typeリスト,FALSE)-1,1),"")</f>
        <v/>
      </c>
      <c r="D204" s="12" t="str">
        <f t="shared" ca="1" si="12"/>
        <v/>
      </c>
      <c r="E204" s="13" t="str">
        <f t="shared" ca="1" si="13"/>
        <v/>
      </c>
      <c r="F204" s="18"/>
      <c r="G204" s="14"/>
      <c r="H204" s="10"/>
      <c r="I204" s="10"/>
      <c r="J204" s="10"/>
      <c r="K204" s="10"/>
      <c r="L204" s="10"/>
    </row>
    <row r="205" spans="2:12">
      <c r="B205" s="11" t="str">
        <f t="shared" si="14"/>
        <v/>
      </c>
      <c r="C205" s="12" t="str">
        <f t="shared" si="15"/>
        <v/>
      </c>
      <c r="D205" s="12" t="str">
        <f t="shared" ref="D205:D234" ca="1" si="16">IFERROR(DEC2HEX(MATCH($J205,INDIRECT($H205&amp;$I205&amp;"Sub1"&amp;"リスト"),FALSE)-1,1),"")</f>
        <v/>
      </c>
      <c r="E205" s="13" t="str">
        <f t="shared" ref="E205:E234" ca="1" si="17">IFERROR(DEC2HEX(MATCH($K205,INDIRECT($H205&amp;$I205&amp;"Sub2"&amp;"リスト"),FALSE)-1,1),"")</f>
        <v/>
      </c>
      <c r="F205" s="18"/>
      <c r="G205" s="14"/>
      <c r="H205" s="10"/>
      <c r="I205" s="10"/>
      <c r="J205" s="10"/>
      <c r="K205" s="10"/>
      <c r="L205" s="10"/>
    </row>
    <row r="206" spans="2:12">
      <c r="B206" s="11" t="str">
        <f t="shared" si="14"/>
        <v/>
      </c>
      <c r="C206" s="12" t="str">
        <f t="shared" si="15"/>
        <v/>
      </c>
      <c r="D206" s="12" t="str">
        <f t="shared" ca="1" si="16"/>
        <v/>
      </c>
      <c r="E206" s="13" t="str">
        <f t="shared" ca="1" si="17"/>
        <v/>
      </c>
      <c r="F206" s="18"/>
      <c r="G206" s="16"/>
      <c r="H206" s="10"/>
      <c r="I206" s="10"/>
      <c r="J206" s="10"/>
      <c r="K206" s="10"/>
      <c r="L206" s="10"/>
    </row>
    <row r="207" spans="2:12">
      <c r="B207" s="11" t="str">
        <f t="shared" si="14"/>
        <v/>
      </c>
      <c r="C207" s="12" t="str">
        <f t="shared" si="15"/>
        <v/>
      </c>
      <c r="D207" s="12" t="str">
        <f t="shared" ca="1" si="16"/>
        <v/>
      </c>
      <c r="E207" s="13" t="str">
        <f t="shared" ca="1" si="17"/>
        <v/>
      </c>
      <c r="F207" s="18"/>
      <c r="G207" s="16"/>
      <c r="H207" s="10"/>
      <c r="I207" s="10"/>
      <c r="J207" s="10"/>
      <c r="K207" s="10"/>
      <c r="L207" s="10"/>
    </row>
    <row r="208" spans="2:12">
      <c r="B208" s="11" t="str">
        <f t="shared" si="14"/>
        <v/>
      </c>
      <c r="C208" s="12" t="str">
        <f t="shared" si="15"/>
        <v/>
      </c>
      <c r="D208" s="12" t="str">
        <f t="shared" ca="1" si="16"/>
        <v/>
      </c>
      <c r="E208" s="13" t="str">
        <f t="shared" ca="1" si="17"/>
        <v/>
      </c>
      <c r="F208" s="18"/>
      <c r="G208" s="17"/>
      <c r="H208" s="10"/>
      <c r="I208" s="10"/>
      <c r="J208" s="10"/>
      <c r="K208" s="10"/>
      <c r="L208" s="10"/>
    </row>
    <row r="209" spans="2:12">
      <c r="B209" s="11" t="str">
        <f t="shared" si="14"/>
        <v/>
      </c>
      <c r="C209" s="12" t="str">
        <f t="shared" si="15"/>
        <v/>
      </c>
      <c r="D209" s="12" t="str">
        <f t="shared" ca="1" si="16"/>
        <v/>
      </c>
      <c r="E209" s="13" t="str">
        <f t="shared" ca="1" si="17"/>
        <v/>
      </c>
      <c r="F209" s="18"/>
      <c r="G209" s="17"/>
      <c r="H209" s="10"/>
      <c r="I209" s="10"/>
      <c r="J209" s="10"/>
      <c r="K209" s="10"/>
      <c r="L209" s="10"/>
    </row>
    <row r="210" spans="2:12">
      <c r="B210" s="11" t="str">
        <f t="shared" si="14"/>
        <v/>
      </c>
      <c r="C210" s="12" t="str">
        <f t="shared" si="15"/>
        <v/>
      </c>
      <c r="D210" s="12" t="str">
        <f t="shared" ca="1" si="16"/>
        <v/>
      </c>
      <c r="E210" s="13" t="str">
        <f t="shared" ca="1" si="17"/>
        <v/>
      </c>
      <c r="F210" s="18"/>
      <c r="G210" s="17"/>
      <c r="H210" s="10"/>
      <c r="I210" s="10"/>
      <c r="J210" s="10"/>
      <c r="K210" s="10"/>
      <c r="L210" s="10"/>
    </row>
    <row r="211" spans="2:12">
      <c r="B211" s="11" t="str">
        <f t="shared" si="14"/>
        <v/>
      </c>
      <c r="C211" s="12" t="str">
        <f t="shared" si="15"/>
        <v/>
      </c>
      <c r="D211" s="12" t="str">
        <f t="shared" ca="1" si="16"/>
        <v/>
      </c>
      <c r="E211" s="13" t="str">
        <f t="shared" ca="1" si="17"/>
        <v/>
      </c>
      <c r="F211" s="18"/>
      <c r="G211" s="17"/>
      <c r="H211" s="10"/>
      <c r="I211" s="10"/>
      <c r="J211" s="10"/>
      <c r="K211" s="10"/>
      <c r="L211" s="10"/>
    </row>
    <row r="212" spans="2:12">
      <c r="B212" s="11" t="str">
        <f t="shared" si="14"/>
        <v/>
      </c>
      <c r="C212" s="12" t="str">
        <f t="shared" si="15"/>
        <v/>
      </c>
      <c r="D212" s="12" t="str">
        <f t="shared" ca="1" si="16"/>
        <v/>
      </c>
      <c r="E212" s="13" t="str">
        <f t="shared" ca="1" si="17"/>
        <v/>
      </c>
      <c r="F212" s="18"/>
      <c r="G212" s="17"/>
      <c r="H212" s="10"/>
      <c r="I212" s="10"/>
      <c r="J212" s="10"/>
      <c r="K212" s="10"/>
      <c r="L212" s="10"/>
    </row>
    <row r="213" spans="2:12">
      <c r="B213" s="11" t="str">
        <f t="shared" si="14"/>
        <v/>
      </c>
      <c r="C213" s="12" t="str">
        <f t="shared" si="15"/>
        <v/>
      </c>
      <c r="D213" s="12" t="str">
        <f t="shared" ca="1" si="16"/>
        <v/>
      </c>
      <c r="E213" s="13" t="str">
        <f t="shared" ca="1" si="17"/>
        <v/>
      </c>
      <c r="F213" s="18"/>
      <c r="G213" s="17"/>
      <c r="H213" s="10"/>
      <c r="I213" s="10"/>
      <c r="J213" s="10"/>
      <c r="K213" s="10"/>
      <c r="L213" s="10"/>
    </row>
    <row r="214" spans="2:12">
      <c r="B214" s="11" t="str">
        <f t="shared" si="14"/>
        <v/>
      </c>
      <c r="C214" s="12" t="str">
        <f t="shared" si="15"/>
        <v/>
      </c>
      <c r="D214" s="12" t="str">
        <f t="shared" ca="1" si="16"/>
        <v/>
      </c>
      <c r="E214" s="13" t="str">
        <f t="shared" ca="1" si="17"/>
        <v/>
      </c>
      <c r="F214" s="18"/>
      <c r="G214" s="17"/>
      <c r="H214" s="10"/>
      <c r="I214" s="10"/>
      <c r="J214" s="10"/>
      <c r="K214" s="10"/>
      <c r="L214" s="10"/>
    </row>
    <row r="215" spans="2:12">
      <c r="B215" s="11" t="str">
        <f t="shared" si="14"/>
        <v/>
      </c>
      <c r="C215" s="12" t="str">
        <f t="shared" si="15"/>
        <v/>
      </c>
      <c r="D215" s="12" t="str">
        <f t="shared" ca="1" si="16"/>
        <v/>
      </c>
      <c r="E215" s="13" t="str">
        <f t="shared" ca="1" si="17"/>
        <v/>
      </c>
      <c r="F215" s="18"/>
      <c r="G215" s="17"/>
      <c r="H215" s="10"/>
      <c r="I215" s="10"/>
      <c r="J215" s="10"/>
      <c r="K215" s="10"/>
      <c r="L215" s="10"/>
    </row>
    <row r="216" spans="2:12">
      <c r="B216" s="11" t="str">
        <f t="shared" si="14"/>
        <v/>
      </c>
      <c r="C216" s="12" t="str">
        <f t="shared" si="15"/>
        <v/>
      </c>
      <c r="D216" s="12" t="str">
        <f t="shared" ca="1" si="16"/>
        <v/>
      </c>
      <c r="E216" s="13" t="str">
        <f t="shared" ca="1" si="17"/>
        <v/>
      </c>
      <c r="F216" s="18"/>
      <c r="G216" s="17"/>
      <c r="H216" s="10"/>
      <c r="I216" s="10"/>
      <c r="J216" s="10"/>
      <c r="K216" s="10"/>
      <c r="L216" s="10"/>
    </row>
    <row r="217" spans="2:12">
      <c r="B217" s="11" t="str">
        <f t="shared" si="14"/>
        <v/>
      </c>
      <c r="C217" s="12" t="str">
        <f t="shared" si="15"/>
        <v/>
      </c>
      <c r="D217" s="12" t="str">
        <f t="shared" ca="1" si="16"/>
        <v/>
      </c>
      <c r="E217" s="13" t="str">
        <f t="shared" ca="1" si="17"/>
        <v/>
      </c>
      <c r="F217" s="18"/>
      <c r="G217" s="17"/>
      <c r="H217" s="10"/>
      <c r="I217" s="10"/>
      <c r="J217" s="10"/>
      <c r="K217" s="10"/>
      <c r="L217" s="10"/>
    </row>
    <row r="218" spans="2:12">
      <c r="B218" s="11" t="str">
        <f t="shared" si="14"/>
        <v/>
      </c>
      <c r="C218" s="12" t="str">
        <f t="shared" si="15"/>
        <v/>
      </c>
      <c r="D218" s="12" t="str">
        <f t="shared" ca="1" si="16"/>
        <v/>
      </c>
      <c r="E218" s="13" t="str">
        <f t="shared" ca="1" si="17"/>
        <v/>
      </c>
      <c r="F218" s="18"/>
      <c r="G218" s="17"/>
      <c r="H218" s="10"/>
      <c r="I218" s="10"/>
      <c r="J218" s="10"/>
      <c r="K218" s="10"/>
      <c r="L218" s="10"/>
    </row>
    <row r="219" spans="2:12">
      <c r="B219" s="11" t="str">
        <f t="shared" si="14"/>
        <v/>
      </c>
      <c r="C219" s="12" t="str">
        <f t="shared" si="15"/>
        <v/>
      </c>
      <c r="D219" s="12" t="str">
        <f t="shared" ca="1" si="16"/>
        <v/>
      </c>
      <c r="E219" s="13" t="str">
        <f t="shared" ca="1" si="17"/>
        <v/>
      </c>
      <c r="F219" s="18"/>
      <c r="G219" s="17"/>
      <c r="H219" s="10"/>
      <c r="I219" s="10"/>
      <c r="J219" s="10"/>
      <c r="K219" s="10"/>
      <c r="L219" s="10"/>
    </row>
    <row r="220" spans="2:12">
      <c r="B220" s="11" t="str">
        <f t="shared" si="14"/>
        <v/>
      </c>
      <c r="C220" s="12" t="str">
        <f t="shared" si="15"/>
        <v/>
      </c>
      <c r="D220" s="12" t="str">
        <f t="shared" ca="1" si="16"/>
        <v/>
      </c>
      <c r="E220" s="13" t="str">
        <f t="shared" ca="1" si="17"/>
        <v/>
      </c>
      <c r="F220" s="18"/>
      <c r="G220" s="17"/>
      <c r="H220" s="10"/>
      <c r="I220" s="10"/>
      <c r="J220" s="10"/>
      <c r="K220" s="10"/>
      <c r="L220" s="10"/>
    </row>
    <row r="221" spans="2:12">
      <c r="B221" s="11" t="str">
        <f t="shared" si="14"/>
        <v/>
      </c>
      <c r="C221" s="12" t="str">
        <f t="shared" si="15"/>
        <v/>
      </c>
      <c r="D221" s="12" t="str">
        <f t="shared" ca="1" si="16"/>
        <v/>
      </c>
      <c r="E221" s="13" t="str">
        <f t="shared" ca="1" si="17"/>
        <v/>
      </c>
      <c r="F221" s="18"/>
      <c r="G221" s="17"/>
      <c r="H221" s="10"/>
      <c r="I221" s="10"/>
      <c r="J221" s="10"/>
      <c r="K221" s="10"/>
      <c r="L221" s="10"/>
    </row>
    <row r="222" spans="2:12">
      <c r="B222" s="11" t="str">
        <f t="shared" si="14"/>
        <v/>
      </c>
      <c r="C222" s="12" t="str">
        <f t="shared" si="15"/>
        <v/>
      </c>
      <c r="D222" s="12" t="str">
        <f t="shared" ca="1" si="16"/>
        <v/>
      </c>
      <c r="E222" s="13" t="str">
        <f t="shared" ca="1" si="17"/>
        <v/>
      </c>
      <c r="F222" s="18"/>
      <c r="G222" s="17"/>
      <c r="H222" s="10"/>
      <c r="I222" s="10"/>
      <c r="J222" s="10"/>
      <c r="K222" s="10"/>
      <c r="L222" s="10"/>
    </row>
    <row r="223" spans="2:12">
      <c r="B223" s="11" t="str">
        <f t="shared" si="14"/>
        <v/>
      </c>
      <c r="C223" s="12" t="str">
        <f t="shared" si="15"/>
        <v/>
      </c>
      <c r="D223" s="12" t="str">
        <f t="shared" ca="1" si="16"/>
        <v/>
      </c>
      <c r="E223" s="13" t="str">
        <f t="shared" ca="1" si="17"/>
        <v/>
      </c>
      <c r="F223" s="18"/>
      <c r="G223" s="17"/>
      <c r="H223" s="10"/>
      <c r="I223" s="10"/>
      <c r="J223" s="10"/>
      <c r="K223" s="10"/>
      <c r="L223" s="10"/>
    </row>
    <row r="224" spans="2:12">
      <c r="B224" s="11" t="str">
        <f t="shared" si="14"/>
        <v/>
      </c>
      <c r="C224" s="12" t="str">
        <f t="shared" si="15"/>
        <v/>
      </c>
      <c r="D224" s="12" t="str">
        <f t="shared" ca="1" si="16"/>
        <v/>
      </c>
      <c r="E224" s="13" t="str">
        <f t="shared" ca="1" si="17"/>
        <v/>
      </c>
      <c r="F224" s="18"/>
      <c r="G224" s="17"/>
      <c r="H224" s="10"/>
      <c r="I224" s="10"/>
      <c r="J224" s="10"/>
      <c r="K224" s="10"/>
      <c r="L224" s="10"/>
    </row>
    <row r="225" spans="2:12">
      <c r="B225" s="11" t="str">
        <f t="shared" si="14"/>
        <v/>
      </c>
      <c r="C225" s="12" t="str">
        <f t="shared" si="15"/>
        <v/>
      </c>
      <c r="D225" s="12" t="str">
        <f t="shared" ca="1" si="16"/>
        <v/>
      </c>
      <c r="E225" s="13" t="str">
        <f t="shared" ca="1" si="17"/>
        <v/>
      </c>
      <c r="F225" s="18"/>
      <c r="G225" s="17"/>
      <c r="H225" s="10"/>
      <c r="I225" s="10"/>
      <c r="J225" s="10"/>
      <c r="K225" s="10"/>
      <c r="L225" s="10"/>
    </row>
    <row r="226" spans="2:12">
      <c r="B226" s="11" t="str">
        <f t="shared" si="14"/>
        <v/>
      </c>
      <c r="C226" s="12" t="str">
        <f t="shared" si="15"/>
        <v/>
      </c>
      <c r="D226" s="12" t="str">
        <f t="shared" ca="1" si="16"/>
        <v/>
      </c>
      <c r="E226" s="13" t="str">
        <f t="shared" ca="1" si="17"/>
        <v/>
      </c>
      <c r="F226" s="18"/>
      <c r="G226" s="17"/>
      <c r="H226" s="10"/>
      <c r="I226" s="10"/>
      <c r="J226" s="10"/>
      <c r="K226" s="10"/>
      <c r="L226" s="10"/>
    </row>
    <row r="227" spans="2:12">
      <c r="B227" s="11" t="str">
        <f t="shared" si="14"/>
        <v/>
      </c>
      <c r="C227" s="12" t="str">
        <f t="shared" si="15"/>
        <v/>
      </c>
      <c r="D227" s="12" t="str">
        <f t="shared" ca="1" si="16"/>
        <v/>
      </c>
      <c r="E227" s="13" t="str">
        <f t="shared" ca="1" si="17"/>
        <v/>
      </c>
      <c r="F227" s="18"/>
      <c r="G227" s="17"/>
      <c r="H227" s="10"/>
      <c r="I227" s="10"/>
      <c r="J227" s="10"/>
      <c r="K227" s="10"/>
      <c r="L227" s="10"/>
    </row>
    <row r="228" spans="2:12">
      <c r="B228" s="11" t="str">
        <f t="shared" si="14"/>
        <v/>
      </c>
      <c r="C228" s="12" t="str">
        <f t="shared" si="15"/>
        <v/>
      </c>
      <c r="D228" s="12" t="str">
        <f t="shared" ca="1" si="16"/>
        <v/>
      </c>
      <c r="E228" s="13" t="str">
        <f t="shared" ca="1" si="17"/>
        <v/>
      </c>
      <c r="F228" s="18"/>
      <c r="G228" s="17"/>
      <c r="H228" s="10"/>
      <c r="I228" s="10"/>
      <c r="J228" s="10"/>
      <c r="K228" s="10"/>
      <c r="L228" s="10"/>
    </row>
    <row r="229" spans="2:12">
      <c r="B229" s="11" t="str">
        <f t="shared" si="14"/>
        <v/>
      </c>
      <c r="C229" s="12" t="str">
        <f t="shared" si="15"/>
        <v/>
      </c>
      <c r="D229" s="12" t="str">
        <f t="shared" ca="1" si="16"/>
        <v/>
      </c>
      <c r="E229" s="13" t="str">
        <f t="shared" ca="1" si="17"/>
        <v/>
      </c>
      <c r="F229" s="18"/>
      <c r="G229" s="17"/>
      <c r="H229" s="10"/>
      <c r="I229" s="10"/>
      <c r="J229" s="10"/>
      <c r="K229" s="10"/>
      <c r="L229" s="10"/>
    </row>
    <row r="230" spans="2:12">
      <c r="B230" s="11" t="str">
        <f t="shared" si="14"/>
        <v/>
      </c>
      <c r="C230" s="12" t="str">
        <f t="shared" si="15"/>
        <v/>
      </c>
      <c r="D230" s="12" t="str">
        <f t="shared" ca="1" si="16"/>
        <v/>
      </c>
      <c r="E230" s="13" t="str">
        <f t="shared" ca="1" si="17"/>
        <v/>
      </c>
      <c r="F230" s="18"/>
      <c r="G230" s="17"/>
      <c r="H230" s="10"/>
      <c r="I230" s="10"/>
      <c r="J230" s="10"/>
      <c r="K230" s="10"/>
      <c r="L230" s="10"/>
    </row>
    <row r="231" spans="2:12">
      <c r="B231" s="11" t="str">
        <f t="shared" si="14"/>
        <v/>
      </c>
      <c r="C231" s="12" t="str">
        <f t="shared" si="15"/>
        <v/>
      </c>
      <c r="D231" s="12" t="str">
        <f t="shared" ca="1" si="16"/>
        <v/>
      </c>
      <c r="E231" s="13" t="str">
        <f t="shared" ca="1" si="17"/>
        <v/>
      </c>
      <c r="F231" s="18"/>
      <c r="G231" s="17"/>
      <c r="H231" s="10"/>
      <c r="I231" s="10"/>
      <c r="J231" s="10"/>
      <c r="K231" s="10"/>
      <c r="L231" s="10"/>
    </row>
    <row r="232" spans="2:12">
      <c r="B232" s="11" t="str">
        <f t="shared" si="14"/>
        <v/>
      </c>
      <c r="C232" s="12" t="str">
        <f t="shared" si="15"/>
        <v/>
      </c>
      <c r="D232" s="12" t="str">
        <f t="shared" ca="1" si="16"/>
        <v/>
      </c>
      <c r="E232" s="13" t="str">
        <f t="shared" ca="1" si="17"/>
        <v/>
      </c>
      <c r="F232" s="18"/>
      <c r="G232" s="17"/>
      <c r="H232" s="10"/>
      <c r="I232" s="10"/>
      <c r="J232" s="10"/>
      <c r="K232" s="10"/>
      <c r="L232" s="10"/>
    </row>
    <row r="233" spans="2:12">
      <c r="B233" s="11" t="str">
        <f t="shared" si="14"/>
        <v/>
      </c>
      <c r="C233" s="12" t="str">
        <f t="shared" si="15"/>
        <v/>
      </c>
      <c r="D233" s="12" t="str">
        <f t="shared" ca="1" si="16"/>
        <v/>
      </c>
      <c r="E233" s="13" t="str">
        <f t="shared" ca="1" si="17"/>
        <v/>
      </c>
      <c r="F233" s="18"/>
      <c r="G233" s="17"/>
      <c r="H233" s="10"/>
      <c r="I233" s="10"/>
      <c r="J233" s="10"/>
      <c r="K233" s="10"/>
      <c r="L233" s="10"/>
    </row>
    <row r="234" spans="2:12">
      <c r="B234" s="11" t="str">
        <f t="shared" si="14"/>
        <v/>
      </c>
      <c r="C234" s="12" t="str">
        <f t="shared" si="15"/>
        <v/>
      </c>
      <c r="D234" s="12" t="str">
        <f t="shared" ca="1" si="16"/>
        <v/>
      </c>
      <c r="E234" s="13" t="str">
        <f t="shared" ca="1" si="17"/>
        <v/>
      </c>
      <c r="F234" s="18"/>
      <c r="G234" s="17"/>
      <c r="H234" s="10"/>
      <c r="I234" s="10"/>
      <c r="J234" s="10"/>
      <c r="K234" s="10"/>
      <c r="L234" s="10"/>
    </row>
  </sheetData>
  <autoFilter ref="H4:K234"/>
  <mergeCells count="5">
    <mergeCell ref="L3:L4"/>
    <mergeCell ref="B3:E4"/>
    <mergeCell ref="G3:G4"/>
    <mergeCell ref="F3:F4"/>
    <mergeCell ref="H3:K3"/>
  </mergeCells>
  <phoneticPr fontId="1"/>
  <conditionalFormatting sqref="F1:K40 F42:K1048576">
    <cfRule type="expression" dxfId="5" priority="4">
      <formula>IF($F1="Comment",TRUE,FALSE)</formula>
    </cfRule>
    <cfRule type="expression" dxfId="4" priority="5">
      <formula>IF($F1="def",TRUE,FALSE)</formula>
    </cfRule>
    <cfRule type="expression" dxfId="3" priority="6">
      <formula>IF($F1="CategoryID",TRUE,FALSE)</formula>
    </cfRule>
  </conditionalFormatting>
  <conditionalFormatting sqref="F41:K41">
    <cfRule type="expression" dxfId="2" priority="1">
      <formula>IF($F41="Comment",TRUE,FALSE)</formula>
    </cfRule>
    <cfRule type="expression" dxfId="1" priority="2">
      <formula>IF($F41="def",TRUE,FALSE)</formula>
    </cfRule>
    <cfRule type="expression" dxfId="0" priority="3">
      <formula>IF($F41="CategoryID",TRUE,FALSE)</formula>
    </cfRule>
  </conditionalFormatting>
  <dataValidations count="5">
    <dataValidation type="list" allowBlank="1" showInputMessage="1" showErrorMessage="1" sqref="H5:H234">
      <formula1>Mainリスト</formula1>
    </dataValidation>
    <dataValidation type="list" allowBlank="1" showInputMessage="1" showErrorMessage="1" sqref="I5:I234">
      <formula1>Typeリスト</formula1>
    </dataValidation>
    <dataValidation type="list" allowBlank="1" showInputMessage="1" showErrorMessage="1" sqref="J5:J234">
      <formula1>INDIRECT(CONCATENATE($H5,$I5,"Sub1","リスト"))</formula1>
    </dataValidation>
    <dataValidation type="list" allowBlank="1" showInputMessage="1" showErrorMessage="1" sqref="K5:K234">
      <formula1>INDIRECT(CONCATENATE($H5,$I5,"Sub2","リスト"))</formula1>
    </dataValidation>
    <dataValidation type="list" allowBlank="1" showInputMessage="1" showErrorMessage="1" sqref="F5:F234">
      <formula1>"Comment,CategoryID,WindowID,def"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AllCall">
                <anchor moveWithCells="1" sizeWithCells="1">
                  <from>
                    <xdr:col>2</xdr:col>
                    <xdr:colOff>0</xdr:colOff>
                    <xdr:row>0</xdr:row>
                    <xdr:rowOff>66675</xdr:rowOff>
                  </from>
                  <to>
                    <xdr:col>6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66FFFF"/>
  </sheetPr>
  <dimension ref="B2:N64"/>
  <sheetViews>
    <sheetView showGridLines="0" zoomScaleNormal="100" workbookViewId="0">
      <selection activeCell="K17" sqref="K17"/>
    </sheetView>
  </sheetViews>
  <sheetFormatPr defaultRowHeight="13.5"/>
  <cols>
    <col min="1" max="1" width="9" style="21"/>
    <col min="2" max="2" width="13.875" style="21" customWidth="1"/>
    <col min="3" max="3" width="4.125" style="21" customWidth="1"/>
    <col min="4" max="4" width="13.875" style="21" customWidth="1"/>
    <col min="5" max="5" width="4.125" style="21" customWidth="1"/>
    <col min="6" max="6" width="13.875" style="21" customWidth="1"/>
    <col min="7" max="7" width="4.125" style="21" customWidth="1"/>
    <col min="8" max="8" width="13.875" style="21" customWidth="1"/>
    <col min="9" max="9" width="4.125" style="21" customWidth="1"/>
    <col min="10" max="16384" width="9" style="21"/>
  </cols>
  <sheetData>
    <row r="2" spans="2:12" ht="21">
      <c r="B2" s="20" t="s">
        <v>271</v>
      </c>
    </row>
    <row r="4" spans="2:12">
      <c r="B4" s="47" t="s">
        <v>186</v>
      </c>
      <c r="C4" s="48"/>
      <c r="D4" s="47" t="s">
        <v>70</v>
      </c>
      <c r="E4" s="48"/>
      <c r="K4" s="51" t="s">
        <v>270</v>
      </c>
      <c r="L4" s="51"/>
    </row>
    <row r="5" spans="2:12">
      <c r="B5" s="49"/>
      <c r="C5" s="50"/>
      <c r="D5" s="49"/>
      <c r="E5" s="50"/>
      <c r="K5" s="51"/>
      <c r="L5" s="51"/>
    </row>
    <row r="6" spans="2:12">
      <c r="B6" s="37" t="s">
        <v>196</v>
      </c>
      <c r="C6" s="28">
        <v>0</v>
      </c>
      <c r="D6" s="37" t="s">
        <v>280</v>
      </c>
      <c r="E6" s="28">
        <v>0</v>
      </c>
    </row>
    <row r="7" spans="2:12">
      <c r="B7" s="38" t="s">
        <v>202</v>
      </c>
      <c r="C7" s="29">
        <v>1</v>
      </c>
      <c r="D7" s="38" t="s">
        <v>64</v>
      </c>
      <c r="E7" s="29">
        <v>1</v>
      </c>
      <c r="K7" s="21" t="s">
        <v>292</v>
      </c>
    </row>
    <row r="8" spans="2:12">
      <c r="B8" s="38" t="s">
        <v>203</v>
      </c>
      <c r="C8" s="29">
        <v>2</v>
      </c>
      <c r="D8" s="38" t="s">
        <v>198</v>
      </c>
      <c r="E8" s="29">
        <v>2</v>
      </c>
    </row>
    <row r="9" spans="2:12">
      <c r="B9" s="38" t="s">
        <v>206</v>
      </c>
      <c r="C9" s="29">
        <v>3</v>
      </c>
      <c r="D9" s="38"/>
      <c r="E9" s="29">
        <v>3</v>
      </c>
      <c r="K9" s="21" t="s">
        <v>274</v>
      </c>
    </row>
    <row r="10" spans="2:12">
      <c r="B10" s="38" t="s">
        <v>205</v>
      </c>
      <c r="C10" s="29">
        <v>4</v>
      </c>
      <c r="D10" s="38"/>
      <c r="E10" s="29">
        <v>4</v>
      </c>
      <c r="K10" s="21" t="s">
        <v>275</v>
      </c>
    </row>
    <row r="11" spans="2:12">
      <c r="B11" s="38" t="s">
        <v>208</v>
      </c>
      <c r="C11" s="29">
        <v>5</v>
      </c>
      <c r="D11" s="38"/>
      <c r="E11" s="29">
        <v>5</v>
      </c>
      <c r="K11" s="24" t="s">
        <v>276</v>
      </c>
    </row>
    <row r="12" spans="2:12">
      <c r="B12" s="38" t="s">
        <v>209</v>
      </c>
      <c r="C12" s="29">
        <v>6</v>
      </c>
      <c r="D12" s="38"/>
      <c r="E12" s="29">
        <v>6</v>
      </c>
      <c r="K12" s="24" t="s">
        <v>281</v>
      </c>
    </row>
    <row r="13" spans="2:12">
      <c r="B13" s="38" t="s">
        <v>210</v>
      </c>
      <c r="C13" s="29">
        <v>7</v>
      </c>
      <c r="D13" s="38"/>
      <c r="E13" s="29">
        <v>7</v>
      </c>
      <c r="K13" s="24" t="s">
        <v>277</v>
      </c>
    </row>
    <row r="14" spans="2:12">
      <c r="B14" s="38" t="s">
        <v>1165</v>
      </c>
      <c r="C14" s="29">
        <v>8</v>
      </c>
      <c r="D14" s="38"/>
      <c r="E14" s="29">
        <v>8</v>
      </c>
    </row>
    <row r="15" spans="2:12">
      <c r="B15" s="38"/>
      <c r="C15" s="29">
        <v>9</v>
      </c>
      <c r="D15" s="38"/>
      <c r="E15" s="29">
        <v>9</v>
      </c>
      <c r="K15" s="21" t="s">
        <v>282</v>
      </c>
    </row>
    <row r="16" spans="2:12">
      <c r="B16" s="38"/>
      <c r="C16" s="29" t="s">
        <v>191</v>
      </c>
      <c r="D16" s="38"/>
      <c r="E16" s="29" t="s">
        <v>191</v>
      </c>
      <c r="K16" s="21" t="s">
        <v>290</v>
      </c>
    </row>
    <row r="17" spans="2:14">
      <c r="B17" s="38"/>
      <c r="C17" s="29" t="s">
        <v>192</v>
      </c>
      <c r="D17" s="38"/>
      <c r="E17" s="29" t="s">
        <v>192</v>
      </c>
      <c r="K17" s="21" t="s">
        <v>291</v>
      </c>
    </row>
    <row r="18" spans="2:14">
      <c r="B18" s="38"/>
      <c r="C18" s="29" t="s">
        <v>193</v>
      </c>
      <c r="D18" s="38"/>
      <c r="E18" s="29" t="s">
        <v>193</v>
      </c>
    </row>
    <row r="19" spans="2:14">
      <c r="B19" s="38"/>
      <c r="C19" s="29" t="s">
        <v>194</v>
      </c>
      <c r="D19" s="38"/>
      <c r="E19" s="29" t="s">
        <v>194</v>
      </c>
    </row>
    <row r="20" spans="2:14">
      <c r="B20" s="38"/>
      <c r="C20" s="29" t="s">
        <v>195</v>
      </c>
      <c r="D20" s="38"/>
      <c r="E20" s="29" t="s">
        <v>195</v>
      </c>
    </row>
    <row r="21" spans="2:14">
      <c r="B21" s="39"/>
      <c r="C21" s="30" t="s">
        <v>190</v>
      </c>
      <c r="D21" s="39"/>
      <c r="E21" s="30" t="s">
        <v>190</v>
      </c>
    </row>
    <row r="22" spans="2:14">
      <c r="B22" s="31"/>
      <c r="C22" s="31"/>
      <c r="D22" s="31"/>
      <c r="E22" s="31"/>
    </row>
    <row r="23" spans="2:14">
      <c r="B23" s="31"/>
      <c r="C23" s="31"/>
      <c r="D23" s="31"/>
      <c r="E23" s="31"/>
    </row>
    <row r="24" spans="2:14" ht="21">
      <c r="B24" s="32" t="s">
        <v>272</v>
      </c>
      <c r="C24" s="31"/>
      <c r="D24" s="52" t="s">
        <v>56</v>
      </c>
      <c r="E24" s="53"/>
      <c r="F24" s="52" t="s">
        <v>180</v>
      </c>
      <c r="G24" s="53"/>
      <c r="H24" s="24" t="s">
        <v>273</v>
      </c>
    </row>
    <row r="26" spans="2:14">
      <c r="B26" s="25" t="s">
        <v>1149</v>
      </c>
      <c r="C26" s="26"/>
      <c r="D26" s="26"/>
      <c r="E26" s="27"/>
      <c r="F26" s="25" t="s">
        <v>1198</v>
      </c>
      <c r="G26" s="26"/>
      <c r="H26" s="26"/>
      <c r="I26" s="40" t="s">
        <v>289</v>
      </c>
      <c r="K26" s="51" t="s">
        <v>269</v>
      </c>
      <c r="L26" s="51"/>
      <c r="M26" s="51" t="s">
        <v>270</v>
      </c>
      <c r="N26" s="51"/>
    </row>
    <row r="27" spans="2:14">
      <c r="B27" s="54" t="s">
        <v>182</v>
      </c>
      <c r="C27" s="55"/>
      <c r="D27" s="55" t="s">
        <v>183</v>
      </c>
      <c r="E27" s="56"/>
      <c r="F27" s="54" t="s">
        <v>182</v>
      </c>
      <c r="G27" s="55"/>
      <c r="H27" s="55" t="s">
        <v>183</v>
      </c>
      <c r="I27" s="56"/>
      <c r="K27" s="51"/>
      <c r="L27" s="51"/>
      <c r="M27" s="51"/>
      <c r="N27" s="51"/>
    </row>
    <row r="28" spans="2:14">
      <c r="B28" s="22" t="s">
        <v>1177</v>
      </c>
      <c r="C28" s="33">
        <v>0</v>
      </c>
      <c r="D28" s="22" t="s">
        <v>1177</v>
      </c>
      <c r="E28" s="33">
        <v>0</v>
      </c>
      <c r="F28" s="37" t="s">
        <v>1179</v>
      </c>
      <c r="G28" s="28">
        <v>0</v>
      </c>
      <c r="H28" s="37" t="s">
        <v>1179</v>
      </c>
      <c r="I28" s="28">
        <v>0</v>
      </c>
    </row>
    <row r="29" spans="2:14">
      <c r="B29" s="23"/>
      <c r="C29" s="34">
        <v>1</v>
      </c>
      <c r="D29" s="23"/>
      <c r="E29" s="34">
        <v>1</v>
      </c>
      <c r="F29" s="38" t="s">
        <v>1199</v>
      </c>
      <c r="G29" s="29">
        <v>1</v>
      </c>
      <c r="H29" s="38" t="s">
        <v>1200</v>
      </c>
      <c r="I29" s="29">
        <v>1</v>
      </c>
      <c r="K29" s="21" t="s">
        <v>287</v>
      </c>
    </row>
    <row r="30" spans="2:14">
      <c r="B30" s="23"/>
      <c r="C30" s="34">
        <v>2</v>
      </c>
      <c r="D30" s="23"/>
      <c r="E30" s="34">
        <v>2</v>
      </c>
      <c r="F30" s="38" t="s">
        <v>1201</v>
      </c>
      <c r="G30" s="29">
        <v>2</v>
      </c>
      <c r="H30" s="38" t="s">
        <v>1202</v>
      </c>
      <c r="I30" s="29">
        <v>2</v>
      </c>
      <c r="K30" s="21" t="s">
        <v>288</v>
      </c>
    </row>
    <row r="31" spans="2:14">
      <c r="B31" s="23"/>
      <c r="C31" s="34">
        <v>3</v>
      </c>
      <c r="D31" s="23"/>
      <c r="E31" s="34">
        <v>3</v>
      </c>
      <c r="F31" s="38" t="s">
        <v>1203</v>
      </c>
      <c r="G31" s="29">
        <v>3</v>
      </c>
      <c r="H31" s="38" t="s">
        <v>1204</v>
      </c>
      <c r="I31" s="29">
        <v>3</v>
      </c>
      <c r="K31" s="21" t="s">
        <v>292</v>
      </c>
    </row>
    <row r="32" spans="2:14">
      <c r="B32" s="23"/>
      <c r="C32" s="34">
        <v>4</v>
      </c>
      <c r="D32" s="23"/>
      <c r="E32" s="34">
        <v>4</v>
      </c>
      <c r="F32" s="38" t="s">
        <v>1205</v>
      </c>
      <c r="G32" s="29">
        <v>4</v>
      </c>
      <c r="H32" s="38" t="s">
        <v>1206</v>
      </c>
      <c r="I32" s="29">
        <v>4</v>
      </c>
    </row>
    <row r="33" spans="2:12">
      <c r="B33" s="23"/>
      <c r="C33" s="34">
        <v>5</v>
      </c>
      <c r="D33" s="23"/>
      <c r="E33" s="34">
        <v>5</v>
      </c>
      <c r="F33" s="38" t="s">
        <v>1207</v>
      </c>
      <c r="G33" s="29">
        <v>5</v>
      </c>
      <c r="H33" s="38" t="s">
        <v>1208</v>
      </c>
      <c r="I33" s="29">
        <v>5</v>
      </c>
      <c r="K33" s="21" t="s">
        <v>274</v>
      </c>
    </row>
    <row r="34" spans="2:12">
      <c r="B34" s="23"/>
      <c r="C34" s="34">
        <v>6</v>
      </c>
      <c r="D34" s="23"/>
      <c r="E34" s="34">
        <v>6</v>
      </c>
      <c r="F34" s="38" t="s">
        <v>176</v>
      </c>
      <c r="G34" s="29">
        <v>6</v>
      </c>
      <c r="H34" s="38" t="s">
        <v>1209</v>
      </c>
      <c r="I34" s="29">
        <v>6</v>
      </c>
      <c r="K34" s="21" t="s">
        <v>283</v>
      </c>
    </row>
    <row r="35" spans="2:12">
      <c r="B35" s="23"/>
      <c r="C35" s="34">
        <v>7</v>
      </c>
      <c r="D35" s="23"/>
      <c r="E35" s="34">
        <v>7</v>
      </c>
      <c r="F35" s="38" t="s">
        <v>140</v>
      </c>
      <c r="G35" s="29">
        <v>7</v>
      </c>
      <c r="H35" s="38" t="s">
        <v>1210</v>
      </c>
      <c r="I35" s="29">
        <v>7</v>
      </c>
    </row>
    <row r="36" spans="2:12">
      <c r="B36" s="23"/>
      <c r="C36" s="34">
        <v>8</v>
      </c>
      <c r="D36" s="23"/>
      <c r="E36" s="34">
        <v>8</v>
      </c>
      <c r="F36" s="38" t="s">
        <v>158</v>
      </c>
      <c r="G36" s="29">
        <v>8</v>
      </c>
      <c r="H36" s="38" t="s">
        <v>1211</v>
      </c>
      <c r="I36" s="29">
        <v>8</v>
      </c>
      <c r="K36" s="21" t="s">
        <v>1120</v>
      </c>
    </row>
    <row r="37" spans="2:12">
      <c r="B37" s="23"/>
      <c r="C37" s="34">
        <v>9</v>
      </c>
      <c r="D37" s="23"/>
      <c r="E37" s="34">
        <v>9</v>
      </c>
      <c r="F37" s="38" t="s">
        <v>156</v>
      </c>
      <c r="G37" s="29">
        <v>9</v>
      </c>
      <c r="H37" s="38"/>
      <c r="I37" s="29">
        <v>9</v>
      </c>
    </row>
    <row r="38" spans="2:12">
      <c r="B38" s="23"/>
      <c r="C38" s="34" t="s">
        <v>184</v>
      </c>
      <c r="D38" s="23"/>
      <c r="E38" s="34" t="s">
        <v>184</v>
      </c>
      <c r="F38" s="38" t="s">
        <v>122</v>
      </c>
      <c r="G38" s="29" t="s">
        <v>184</v>
      </c>
      <c r="H38" s="38"/>
      <c r="I38" s="29" t="s">
        <v>184</v>
      </c>
    </row>
    <row r="39" spans="2:12">
      <c r="B39" s="23"/>
      <c r="C39" s="34" t="s">
        <v>187</v>
      </c>
      <c r="D39" s="23"/>
      <c r="E39" s="34" t="s">
        <v>187</v>
      </c>
      <c r="F39" s="38" t="s">
        <v>199</v>
      </c>
      <c r="G39" s="29" t="s">
        <v>187</v>
      </c>
      <c r="H39" s="38"/>
      <c r="I39" s="29" t="s">
        <v>187</v>
      </c>
    </row>
    <row r="40" spans="2:12">
      <c r="B40" s="23"/>
      <c r="C40" s="34" t="s">
        <v>188</v>
      </c>
      <c r="D40" s="23"/>
      <c r="E40" s="34" t="s">
        <v>188</v>
      </c>
      <c r="F40" s="38" t="s">
        <v>1126</v>
      </c>
      <c r="G40" s="29" t="s">
        <v>188</v>
      </c>
      <c r="H40" s="38"/>
      <c r="I40" s="29" t="s">
        <v>188</v>
      </c>
    </row>
    <row r="41" spans="2:12">
      <c r="B41" s="23"/>
      <c r="C41" s="34" t="s">
        <v>189</v>
      </c>
      <c r="D41" s="23"/>
      <c r="E41" s="34" t="s">
        <v>189</v>
      </c>
      <c r="F41" s="38"/>
      <c r="G41" s="29" t="s">
        <v>189</v>
      </c>
      <c r="H41" s="38"/>
      <c r="I41" s="29" t="s">
        <v>189</v>
      </c>
    </row>
    <row r="42" spans="2:12">
      <c r="B42" s="23"/>
      <c r="C42" s="34" t="s">
        <v>166</v>
      </c>
      <c r="D42" s="23"/>
      <c r="E42" s="34" t="s">
        <v>166</v>
      </c>
      <c r="F42" s="38"/>
      <c r="G42" s="29" t="s">
        <v>166</v>
      </c>
      <c r="H42" s="38"/>
      <c r="I42" s="29" t="s">
        <v>166</v>
      </c>
    </row>
    <row r="43" spans="2:12">
      <c r="B43" s="35"/>
      <c r="C43" s="36" t="s">
        <v>167</v>
      </c>
      <c r="D43" s="35"/>
      <c r="E43" s="36" t="s">
        <v>167</v>
      </c>
      <c r="F43" s="39"/>
      <c r="G43" s="30" t="s">
        <v>167</v>
      </c>
      <c r="H43" s="39"/>
      <c r="I43" s="30" t="s">
        <v>167</v>
      </c>
    </row>
    <row r="46" spans="2:12" ht="21">
      <c r="B46" s="32" t="s">
        <v>284</v>
      </c>
    </row>
    <row r="48" spans="2:12">
      <c r="B48" s="57" t="s">
        <v>204</v>
      </c>
      <c r="C48" s="57"/>
      <c r="D48" s="57" t="s">
        <v>162</v>
      </c>
      <c r="E48" s="57"/>
      <c r="K48" s="51" t="s">
        <v>286</v>
      </c>
      <c r="L48" s="51"/>
    </row>
    <row r="49" spans="2:12">
      <c r="B49" s="57"/>
      <c r="C49" s="57"/>
      <c r="D49" s="57"/>
      <c r="E49" s="57"/>
      <c r="K49" s="51"/>
      <c r="L49" s="51"/>
    </row>
    <row r="51" spans="2:12">
      <c r="B51" s="58" t="s">
        <v>285</v>
      </c>
      <c r="C51" s="58"/>
      <c r="D51" s="58"/>
      <c r="E51" s="58"/>
    </row>
    <row r="53" spans="2:12">
      <c r="B53" s="57" t="s">
        <v>204</v>
      </c>
      <c r="C53" s="57"/>
      <c r="D53" s="57" t="s">
        <v>162</v>
      </c>
      <c r="E53" s="57"/>
    </row>
    <row r="54" spans="2:12">
      <c r="B54" s="57"/>
      <c r="C54" s="57"/>
      <c r="D54" s="57"/>
      <c r="E54" s="57"/>
    </row>
    <row r="57" spans="2:12" ht="21">
      <c r="B57" s="32" t="s">
        <v>1119</v>
      </c>
    </row>
    <row r="62" spans="2:12">
      <c r="B62" s="21" t="s">
        <v>294</v>
      </c>
    </row>
    <row r="63" spans="2:12">
      <c r="B63" s="21" t="s">
        <v>295</v>
      </c>
    </row>
    <row r="64" spans="2:12">
      <c r="B64" s="21" t="s">
        <v>293</v>
      </c>
    </row>
  </sheetData>
  <sheetProtection selectLockedCells="1"/>
  <protectedRanges>
    <protectedRange sqref="D6:D21 B28:B43 D28:D43 F28:F43 H28:H43 D24:G24 B6:B21 B53:E53 B48:E48" name="入力可能箇所"/>
  </protectedRanges>
  <mergeCells count="17">
    <mergeCell ref="K48:L49"/>
    <mergeCell ref="B48:C49"/>
    <mergeCell ref="D48:E49"/>
    <mergeCell ref="B53:C54"/>
    <mergeCell ref="D53:E54"/>
    <mergeCell ref="B51:E51"/>
    <mergeCell ref="K26:L27"/>
    <mergeCell ref="M26:N27"/>
    <mergeCell ref="B27:C27"/>
    <mergeCell ref="D27:E27"/>
    <mergeCell ref="F27:G27"/>
    <mergeCell ref="H27:I27"/>
    <mergeCell ref="B4:C5"/>
    <mergeCell ref="D4:E5"/>
    <mergeCell ref="K4:L5"/>
    <mergeCell ref="D24:E24"/>
    <mergeCell ref="F24:G24"/>
  </mergeCells>
  <phoneticPr fontId="1"/>
  <dataValidations count="2">
    <dataValidation type="list" allowBlank="1" showInputMessage="1" showErrorMessage="1" sqref="F24 D53 D48">
      <formula1>Typeリスト</formula1>
    </dataValidation>
    <dataValidation type="list" allowBlank="1" showInputMessage="1" showErrorMessage="1" sqref="D24 B53 B48">
      <formula1>Mainリスト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3" name="Button 2">
              <controlPr defaultSize="0" print="0" autoFill="0" autoPict="0" macro="[0]!MainTypeSet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4" name="Button 3">
              <controlPr defaultSize="0" print="0" autoFill="0" autoPict="0" macro="[0]!SubGet">
                <anchor moveWithCells="1" sizeWithCells="1">
                  <from>
                    <xdr:col>9</xdr:col>
                    <xdr:colOff>685800</xdr:colOff>
                    <xdr:row>24</xdr:row>
                    <xdr:rowOff>171450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SubSet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6" name="Button 11">
              <controlPr defaultSize="0" print="0" autoFill="0" autoPict="0" macro="[0]!NameReset">
                <anchor moveWithCells="1" sizeWithCells="1">
                  <from>
                    <xdr:col>1</xdr:col>
                    <xdr:colOff>0</xdr:colOff>
                    <xdr:row>58</xdr:row>
                    <xdr:rowOff>0</xdr:rowOff>
                  </from>
                  <to>
                    <xdr:col>3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A1:AH52"/>
  <sheetViews>
    <sheetView zoomScale="70" zoomScaleNormal="70" workbookViewId="0">
      <selection activeCell="K29" sqref="K29"/>
    </sheetView>
  </sheetViews>
  <sheetFormatPr defaultRowHeight="13.5"/>
  <sheetData>
    <row r="1" spans="1:34">
      <c r="A1" s="6" t="s">
        <v>1166</v>
      </c>
      <c r="B1" s="6" t="s">
        <v>1167</v>
      </c>
      <c r="C1" s="6" t="s">
        <v>1178</v>
      </c>
      <c r="D1" s="6" t="s">
        <v>1179</v>
      </c>
      <c r="E1" s="6" t="s">
        <v>1179</v>
      </c>
      <c r="F1" s="6" t="s">
        <v>1179</v>
      </c>
      <c r="G1" s="6" t="s">
        <v>1179</v>
      </c>
      <c r="H1" s="6" t="s">
        <v>1178</v>
      </c>
      <c r="I1" s="6" t="s">
        <v>1179</v>
      </c>
      <c r="J1" s="6" t="s">
        <v>1179</v>
      </c>
      <c r="K1" s="6" t="s">
        <v>1178</v>
      </c>
      <c r="L1" s="6" t="s">
        <v>1179</v>
      </c>
      <c r="M1" s="6" t="s">
        <v>1180</v>
      </c>
      <c r="N1" s="6" t="s">
        <v>1179</v>
      </c>
      <c r="O1" s="6" t="s">
        <v>1179</v>
      </c>
      <c r="P1" s="6" t="s">
        <v>1179</v>
      </c>
      <c r="Q1" s="6" t="s">
        <v>1179</v>
      </c>
      <c r="R1" s="6" t="s">
        <v>1179</v>
      </c>
      <c r="S1" s="6" t="s">
        <v>211</v>
      </c>
      <c r="T1" s="6" t="s">
        <v>211</v>
      </c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</row>
    <row r="2" spans="1:34">
      <c r="A2" s="6" t="s">
        <v>1168</v>
      </c>
      <c r="B2" s="6" t="s">
        <v>64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34">
      <c r="A3" s="6" t="s">
        <v>1169</v>
      </c>
      <c r="B3" s="6" t="s">
        <v>1170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1:34">
      <c r="A4" s="6" t="s">
        <v>1171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</row>
    <row r="5" spans="1:34">
      <c r="A5" s="6" t="s">
        <v>1172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</row>
    <row r="6" spans="1:34">
      <c r="A6" s="6" t="s">
        <v>1173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</row>
    <row r="7" spans="1:34">
      <c r="A7" s="6" t="s">
        <v>1174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</row>
    <row r="8" spans="1:34">
      <c r="A8" s="6" t="s">
        <v>1175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</row>
    <row r="9" spans="1:34">
      <c r="A9" s="6" t="s">
        <v>1164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</row>
    <row r="10" spans="1:34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4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</row>
    <row r="12" spans="1:34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</row>
    <row r="13" spans="1:34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</row>
    <row r="14" spans="1:34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</row>
    <row r="15" spans="1:34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</row>
    <row r="16" spans="1:34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</row>
    <row r="17" spans="1:20">
      <c r="A17" s="6"/>
      <c r="C17" s="8" t="s">
        <v>1127</v>
      </c>
      <c r="D17" s="8" t="s">
        <v>1181</v>
      </c>
      <c r="E17" s="8" t="s">
        <v>1177</v>
      </c>
      <c r="F17" s="8" t="s">
        <v>1177</v>
      </c>
      <c r="G17" s="8" t="s">
        <v>1177</v>
      </c>
      <c r="H17" s="8" t="s">
        <v>1177</v>
      </c>
      <c r="I17" s="8" t="s">
        <v>1177</v>
      </c>
      <c r="J17" s="8" t="s">
        <v>1177</v>
      </c>
      <c r="K17" s="8" t="s">
        <v>1177</v>
      </c>
      <c r="L17" s="8" t="s">
        <v>1177</v>
      </c>
      <c r="M17" s="8" t="s">
        <v>1127</v>
      </c>
      <c r="N17" s="8" t="s">
        <v>1177</v>
      </c>
      <c r="O17" s="8" t="s">
        <v>1127</v>
      </c>
      <c r="P17" s="8" t="s">
        <v>1177</v>
      </c>
      <c r="Q17" s="8" t="s">
        <v>1177</v>
      </c>
      <c r="R17" s="8" t="s">
        <v>1127</v>
      </c>
      <c r="S17" t="s">
        <v>211</v>
      </c>
      <c r="T17" t="s">
        <v>211</v>
      </c>
    </row>
    <row r="18" spans="1:20">
      <c r="A18" s="6"/>
      <c r="C18" s="8"/>
      <c r="D18" s="8"/>
      <c r="E18" t="s">
        <v>170</v>
      </c>
      <c r="G18" t="s">
        <v>50</v>
      </c>
      <c r="I18" t="s">
        <v>53</v>
      </c>
      <c r="K18" t="s">
        <v>1129</v>
      </c>
      <c r="L18" t="s">
        <v>1130</v>
      </c>
      <c r="M18" t="s">
        <v>177</v>
      </c>
      <c r="O18" t="s">
        <v>180</v>
      </c>
      <c r="Q18" t="s">
        <v>61</v>
      </c>
    </row>
    <row r="19" spans="1:20">
      <c r="A19" s="6"/>
      <c r="C19" s="8"/>
      <c r="D19" s="8"/>
      <c r="E19" t="s">
        <v>171</v>
      </c>
      <c r="G19" t="s">
        <v>172</v>
      </c>
      <c r="I19" t="s">
        <v>54</v>
      </c>
      <c r="K19" t="s">
        <v>1131</v>
      </c>
      <c r="L19" t="s">
        <v>1132</v>
      </c>
      <c r="M19" t="s">
        <v>178</v>
      </c>
      <c r="O19" t="s">
        <v>71</v>
      </c>
      <c r="Q19" t="s">
        <v>88</v>
      </c>
    </row>
    <row r="20" spans="1:20">
      <c r="A20" s="6"/>
      <c r="C20" s="8"/>
      <c r="D20" s="8"/>
      <c r="E20" t="s">
        <v>138</v>
      </c>
      <c r="G20" t="s">
        <v>51</v>
      </c>
      <c r="I20" t="s">
        <v>55</v>
      </c>
      <c r="K20" t="s">
        <v>1133</v>
      </c>
      <c r="L20" t="s">
        <v>1134</v>
      </c>
      <c r="M20" t="s">
        <v>60</v>
      </c>
      <c r="O20" t="s">
        <v>59</v>
      </c>
      <c r="Q20" t="s">
        <v>89</v>
      </c>
    </row>
    <row r="21" spans="1:20">
      <c r="A21" s="6"/>
      <c r="C21" s="8"/>
      <c r="D21" s="8"/>
      <c r="G21" t="s">
        <v>173</v>
      </c>
      <c r="K21" t="s">
        <v>1135</v>
      </c>
      <c r="L21" t="s">
        <v>1136</v>
      </c>
      <c r="M21" t="s">
        <v>179</v>
      </c>
      <c r="O21" t="s">
        <v>181</v>
      </c>
    </row>
    <row r="22" spans="1:20">
      <c r="A22" s="6"/>
      <c r="C22" s="8"/>
      <c r="D22" s="8"/>
      <c r="K22" t="s">
        <v>1137</v>
      </c>
      <c r="L22" t="s">
        <v>1138</v>
      </c>
      <c r="M22" t="s">
        <v>111</v>
      </c>
    </row>
    <row r="23" spans="1:20">
      <c r="C23" s="8"/>
      <c r="D23" s="8"/>
      <c r="K23" t="s">
        <v>1128</v>
      </c>
      <c r="L23" t="s">
        <v>1139</v>
      </c>
    </row>
    <row r="24" spans="1:20">
      <c r="C24" s="8"/>
      <c r="D24" s="8"/>
      <c r="K24" t="s">
        <v>1140</v>
      </c>
      <c r="L24" t="s">
        <v>1141</v>
      </c>
    </row>
    <row r="25" spans="1:20">
      <c r="C25" s="8"/>
      <c r="D25" s="8"/>
      <c r="K25" t="s">
        <v>1142</v>
      </c>
      <c r="L25" t="s">
        <v>1143</v>
      </c>
    </row>
    <row r="26" spans="1:20">
      <c r="C26" s="8"/>
      <c r="D26" s="8"/>
      <c r="K26" t="s">
        <v>1144</v>
      </c>
    </row>
    <row r="27" spans="1:20">
      <c r="C27" s="8"/>
      <c r="D27" s="8"/>
      <c r="K27" t="s">
        <v>1145</v>
      </c>
    </row>
    <row r="28" spans="1:20">
      <c r="C28" s="8"/>
      <c r="D28" s="8"/>
      <c r="K28" t="s">
        <v>1146</v>
      </c>
    </row>
    <row r="29" spans="1:20">
      <c r="C29" s="8"/>
      <c r="D29" s="8"/>
      <c r="K29" t="s">
        <v>1147</v>
      </c>
    </row>
    <row r="30" spans="1:20">
      <c r="C30" s="8"/>
      <c r="D30" s="8"/>
    </row>
    <row r="33" spans="3:20">
      <c r="C33" t="s">
        <v>1127</v>
      </c>
      <c r="D33" t="s">
        <v>1177</v>
      </c>
      <c r="E33" s="8" t="s">
        <v>1177</v>
      </c>
      <c r="F33" s="8" t="s">
        <v>1127</v>
      </c>
      <c r="G33" s="8" t="s">
        <v>1177</v>
      </c>
      <c r="H33" s="8" t="s">
        <v>1181</v>
      </c>
      <c r="I33" s="8" t="s">
        <v>1177</v>
      </c>
      <c r="J33" s="8" t="s">
        <v>1127</v>
      </c>
      <c r="K33" s="8" t="s">
        <v>1127</v>
      </c>
      <c r="L33" s="8" t="s">
        <v>1127</v>
      </c>
      <c r="M33" s="8" t="s">
        <v>1177</v>
      </c>
      <c r="N33" s="8" t="s">
        <v>1177</v>
      </c>
      <c r="O33" s="8" t="s">
        <v>1177</v>
      </c>
      <c r="P33" s="8" t="s">
        <v>1177</v>
      </c>
      <c r="Q33" s="8" t="s">
        <v>1127</v>
      </c>
      <c r="R33" s="8" t="s">
        <v>1177</v>
      </c>
      <c r="S33" s="8" t="s">
        <v>211</v>
      </c>
      <c r="T33" s="8" t="s">
        <v>211</v>
      </c>
    </row>
    <row r="34" spans="3:20">
      <c r="C34" t="s">
        <v>1182</v>
      </c>
      <c r="D34" t="s">
        <v>1183</v>
      </c>
      <c r="E34" s="8" t="s">
        <v>1184</v>
      </c>
      <c r="F34" s="8" t="s">
        <v>1185</v>
      </c>
      <c r="G34" s="8" t="s">
        <v>1182</v>
      </c>
      <c r="H34" s="8" t="s">
        <v>1186</v>
      </c>
      <c r="I34" s="8" t="s">
        <v>1182</v>
      </c>
      <c r="J34" s="8" t="s">
        <v>1186</v>
      </c>
      <c r="K34" s="8" t="s">
        <v>1182</v>
      </c>
      <c r="L34" s="8" t="s">
        <v>1186</v>
      </c>
      <c r="M34" s="8" t="s">
        <v>1182</v>
      </c>
      <c r="N34" s="8" t="s">
        <v>1186</v>
      </c>
      <c r="O34" s="8" t="s">
        <v>1182</v>
      </c>
      <c r="P34" s="8" t="s">
        <v>1186</v>
      </c>
      <c r="Q34" s="8" t="s">
        <v>1182</v>
      </c>
      <c r="R34" s="8" t="s">
        <v>1186</v>
      </c>
      <c r="S34" s="8" t="s">
        <v>1151</v>
      </c>
      <c r="T34" s="8" t="s">
        <v>1155</v>
      </c>
    </row>
    <row r="35" spans="3:20">
      <c r="C35" t="s">
        <v>1187</v>
      </c>
      <c r="D35" t="s">
        <v>1131</v>
      </c>
      <c r="E35" s="8" t="s">
        <v>1187</v>
      </c>
      <c r="F35" s="8" t="s">
        <v>1188</v>
      </c>
      <c r="G35" s="8" t="s">
        <v>1187</v>
      </c>
      <c r="H35" s="8" t="s">
        <v>1188</v>
      </c>
      <c r="I35" s="8" t="s">
        <v>1189</v>
      </c>
      <c r="J35" s="8" t="s">
        <v>1131</v>
      </c>
      <c r="K35" s="8" t="s">
        <v>1190</v>
      </c>
      <c r="L35" s="8" t="s">
        <v>1131</v>
      </c>
      <c r="M35" s="8" t="s">
        <v>1187</v>
      </c>
      <c r="N35" s="8" t="s">
        <v>1188</v>
      </c>
      <c r="O35" s="8" t="s">
        <v>1187</v>
      </c>
      <c r="P35" s="8" t="s">
        <v>1188</v>
      </c>
      <c r="Q35" s="8" t="s">
        <v>1187</v>
      </c>
      <c r="R35" s="8" t="s">
        <v>1188</v>
      </c>
      <c r="S35" s="8" t="s">
        <v>1152</v>
      </c>
      <c r="T35" s="8" t="s">
        <v>169</v>
      </c>
    </row>
    <row r="36" spans="3:20">
      <c r="C36" t="s">
        <v>1191</v>
      </c>
      <c r="E36" s="8" t="s">
        <v>1191</v>
      </c>
      <c r="F36" s="8"/>
      <c r="G36" s="8" t="s">
        <v>1191</v>
      </c>
      <c r="H36" s="8"/>
      <c r="I36" s="8" t="s">
        <v>1192</v>
      </c>
      <c r="J36" s="8"/>
      <c r="K36" s="8" t="s">
        <v>1191</v>
      </c>
      <c r="L36" s="8"/>
      <c r="M36" s="8" t="s">
        <v>1192</v>
      </c>
      <c r="N36" s="8"/>
      <c r="O36" s="8" t="s">
        <v>1191</v>
      </c>
      <c r="P36" s="8"/>
      <c r="Q36" s="8" t="s">
        <v>1192</v>
      </c>
      <c r="R36" s="8"/>
      <c r="S36" s="8" t="s">
        <v>1153</v>
      </c>
      <c r="T36" s="8"/>
    </row>
    <row r="37" spans="3:20">
      <c r="C37" t="s">
        <v>1193</v>
      </c>
      <c r="E37" s="8" t="s">
        <v>1194</v>
      </c>
      <c r="F37" s="8"/>
      <c r="G37" s="8" t="s">
        <v>1194</v>
      </c>
      <c r="H37" s="8"/>
      <c r="I37" s="8" t="s">
        <v>1194</v>
      </c>
      <c r="J37" s="8"/>
      <c r="K37" s="8" t="s">
        <v>1195</v>
      </c>
      <c r="L37" s="8"/>
      <c r="M37" s="8" t="s">
        <v>1194</v>
      </c>
      <c r="N37" s="8"/>
      <c r="O37" s="8" t="s">
        <v>1193</v>
      </c>
      <c r="P37" s="8"/>
      <c r="Q37" s="8" t="s">
        <v>1193</v>
      </c>
      <c r="R37" s="8"/>
      <c r="S37" s="8" t="s">
        <v>1154</v>
      </c>
      <c r="T37" s="8"/>
    </row>
    <row r="38" spans="3:20">
      <c r="C38" t="s">
        <v>1174</v>
      </c>
      <c r="E38" s="8" t="s">
        <v>1196</v>
      </c>
      <c r="F38" s="8"/>
      <c r="G38" s="8" t="s">
        <v>1174</v>
      </c>
      <c r="H38" s="8"/>
      <c r="I38" s="8" t="s">
        <v>1196</v>
      </c>
      <c r="J38" s="8"/>
      <c r="K38" s="8" t="s">
        <v>1174</v>
      </c>
      <c r="L38" s="8"/>
      <c r="M38" s="8" t="s">
        <v>1174</v>
      </c>
      <c r="N38" s="8"/>
      <c r="O38" s="8" t="s">
        <v>1174</v>
      </c>
      <c r="P38" s="8"/>
      <c r="Q38" s="8" t="s">
        <v>1174</v>
      </c>
      <c r="R38" s="8"/>
      <c r="S38" s="8" t="s">
        <v>59</v>
      </c>
      <c r="T38" s="8"/>
    </row>
    <row r="49" spans="3:20"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</row>
    <row r="50" spans="3:20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</row>
    <row r="51" spans="3:20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</row>
    <row r="52" spans="3:20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/>
  </sheetPr>
  <dimension ref="A1:A920"/>
  <sheetViews>
    <sheetView zoomScaleNormal="100" workbookViewId="0"/>
  </sheetViews>
  <sheetFormatPr defaultRowHeight="13.5"/>
  <cols>
    <col min="1" max="1" width="61.625" bestFit="1" customWidth="1"/>
  </cols>
  <sheetData>
    <row r="1" spans="1:1">
      <c r="A1" t="s">
        <v>296</v>
      </c>
    </row>
    <row r="2" spans="1:1">
      <c r="A2" t="s">
        <v>124</v>
      </c>
    </row>
    <row r="3" spans="1:1">
      <c r="A3" t="s">
        <v>297</v>
      </c>
    </row>
    <row r="4" spans="1:1">
      <c r="A4" t="s">
        <v>298</v>
      </c>
    </row>
    <row r="5" spans="1:1">
      <c r="A5" t="s">
        <v>125</v>
      </c>
    </row>
    <row r="6" spans="1:1">
      <c r="A6" t="s">
        <v>126</v>
      </c>
    </row>
    <row r="7" spans="1:1">
      <c r="A7" t="s">
        <v>127</v>
      </c>
    </row>
    <row r="8" spans="1:1">
      <c r="A8" t="s">
        <v>128</v>
      </c>
    </row>
    <row r="9" spans="1:1">
      <c r="A9" t="s">
        <v>129</v>
      </c>
    </row>
    <row r="10" spans="1:1">
      <c r="A10" t="s">
        <v>72</v>
      </c>
    </row>
    <row r="11" spans="1:1">
      <c r="A11" t="s">
        <v>817</v>
      </c>
    </row>
    <row r="12" spans="1:1">
      <c r="A12" t="s">
        <v>10</v>
      </c>
    </row>
    <row r="13" spans="1:1">
      <c r="A13" t="s">
        <v>161</v>
      </c>
    </row>
    <row r="14" spans="1:1">
      <c r="A14" t="s">
        <v>11</v>
      </c>
    </row>
    <row r="15" spans="1:1">
      <c r="A15" t="s">
        <v>815</v>
      </c>
    </row>
    <row r="16" spans="1:1">
      <c r="A16" t="s">
        <v>13</v>
      </c>
    </row>
    <row r="17" spans="1:1">
      <c r="A17" t="s">
        <v>813</v>
      </c>
    </row>
    <row r="18" spans="1:1">
      <c r="A18" t="s">
        <v>139</v>
      </c>
    </row>
    <row r="19" spans="1:1">
      <c r="A19" t="s">
        <v>344</v>
      </c>
    </row>
    <row r="20" spans="1:1">
      <c r="A20" t="s">
        <v>379</v>
      </c>
    </row>
    <row r="21" spans="1:1">
      <c r="A21" t="s">
        <v>130</v>
      </c>
    </row>
    <row r="22" spans="1:1">
      <c r="A22" t="s">
        <v>131</v>
      </c>
    </row>
    <row r="23" spans="1:1">
      <c r="A23" t="s">
        <v>132</v>
      </c>
    </row>
    <row r="24" spans="1:1">
      <c r="A24" t="s">
        <v>133</v>
      </c>
    </row>
    <row r="25" spans="1:1">
      <c r="A25" t="s">
        <v>73</v>
      </c>
    </row>
    <row r="26" spans="1:1">
      <c r="A26" t="s">
        <v>810</v>
      </c>
    </row>
    <row r="27" spans="1:1">
      <c r="A27" t="s">
        <v>14</v>
      </c>
    </row>
    <row r="28" spans="1:1">
      <c r="A28" t="s">
        <v>15</v>
      </c>
    </row>
    <row r="29" spans="1:1">
      <c r="A29" t="s">
        <v>16</v>
      </c>
    </row>
    <row r="30" spans="1:1">
      <c r="A30" t="s">
        <v>17</v>
      </c>
    </row>
    <row r="31" spans="1:1">
      <c r="A31" t="s">
        <v>18</v>
      </c>
    </row>
    <row r="32" spans="1:1">
      <c r="A32" t="s">
        <v>1212</v>
      </c>
    </row>
    <row r="33" spans="1:1">
      <c r="A33" t="s">
        <v>808</v>
      </c>
    </row>
    <row r="34" spans="1:1">
      <c r="A34" t="s">
        <v>12</v>
      </c>
    </row>
    <row r="35" spans="1:1">
      <c r="A35" t="s">
        <v>806</v>
      </c>
    </row>
    <row r="36" spans="1:1">
      <c r="A36" t="s">
        <v>66</v>
      </c>
    </row>
    <row r="37" spans="1:1">
      <c r="A37" t="s">
        <v>804</v>
      </c>
    </row>
    <row r="38" spans="1:1">
      <c r="A38" t="s">
        <v>67</v>
      </c>
    </row>
    <row r="39" spans="1:1">
      <c r="A39" t="s">
        <v>37</v>
      </c>
    </row>
    <row r="40" spans="1:1">
      <c r="A40" t="s">
        <v>38</v>
      </c>
    </row>
    <row r="41" spans="1:1">
      <c r="A41" t="s">
        <v>39</v>
      </c>
    </row>
    <row r="42" spans="1:1">
      <c r="A42" t="s">
        <v>40</v>
      </c>
    </row>
    <row r="43" spans="1:1">
      <c r="A43" t="s">
        <v>41</v>
      </c>
    </row>
    <row r="44" spans="1:1">
      <c r="A44" t="s">
        <v>42</v>
      </c>
    </row>
    <row r="45" spans="1:1">
      <c r="A45" t="s">
        <v>43</v>
      </c>
    </row>
    <row r="46" spans="1:1">
      <c r="A46" t="s">
        <v>406</v>
      </c>
    </row>
    <row r="47" spans="1:1">
      <c r="A47" t="s">
        <v>442</v>
      </c>
    </row>
    <row r="48" spans="1:1">
      <c r="A48" t="s">
        <v>134</v>
      </c>
    </row>
    <row r="49" spans="1:1">
      <c r="A49" t="s">
        <v>135</v>
      </c>
    </row>
    <row r="50" spans="1:1">
      <c r="A50" t="s">
        <v>74</v>
      </c>
    </row>
    <row r="51" spans="1:1">
      <c r="A51" t="s">
        <v>801</v>
      </c>
    </row>
    <row r="52" spans="1:1">
      <c r="A52" t="s">
        <v>19</v>
      </c>
    </row>
    <row r="53" spans="1:1">
      <c r="A53" t="s">
        <v>799</v>
      </c>
    </row>
    <row r="54" spans="1:1">
      <c r="A54" t="s">
        <v>20</v>
      </c>
    </row>
    <row r="55" spans="1:1">
      <c r="A55" t="s">
        <v>21</v>
      </c>
    </row>
    <row r="56" spans="1:1">
      <c r="A56" t="s">
        <v>22</v>
      </c>
    </row>
    <row r="57" spans="1:1">
      <c r="A57" t="s">
        <v>23</v>
      </c>
    </row>
    <row r="58" spans="1:1">
      <c r="A58" t="s">
        <v>24</v>
      </c>
    </row>
    <row r="59" spans="1:1">
      <c r="A59" t="s">
        <v>25</v>
      </c>
    </row>
    <row r="60" spans="1:1">
      <c r="A60" t="s">
        <v>163</v>
      </c>
    </row>
    <row r="61" spans="1:1">
      <c r="A61" t="s">
        <v>31</v>
      </c>
    </row>
    <row r="62" spans="1:1">
      <c r="A62" t="s">
        <v>32</v>
      </c>
    </row>
    <row r="63" spans="1:1">
      <c r="A63" t="s">
        <v>33</v>
      </c>
    </row>
    <row r="64" spans="1:1">
      <c r="A64" t="s">
        <v>34</v>
      </c>
    </row>
    <row r="65" spans="1:1">
      <c r="A65" t="s">
        <v>35</v>
      </c>
    </row>
    <row r="66" spans="1:1">
      <c r="A66" t="s">
        <v>36</v>
      </c>
    </row>
    <row r="67" spans="1:1">
      <c r="A67" t="s">
        <v>75</v>
      </c>
    </row>
    <row r="68" spans="1:1">
      <c r="A68" t="s">
        <v>796</v>
      </c>
    </row>
    <row r="69" spans="1:1">
      <c r="A69" t="s">
        <v>578</v>
      </c>
    </row>
    <row r="70" spans="1:1">
      <c r="A70" t="s">
        <v>579</v>
      </c>
    </row>
    <row r="71" spans="1:1">
      <c r="A71" t="s">
        <v>580</v>
      </c>
    </row>
    <row r="72" spans="1:1">
      <c r="A72" t="s">
        <v>581</v>
      </c>
    </row>
    <row r="73" spans="1:1">
      <c r="A73" t="s">
        <v>582</v>
      </c>
    </row>
    <row r="74" spans="1:1">
      <c r="A74" t="s">
        <v>583</v>
      </c>
    </row>
    <row r="75" spans="1:1">
      <c r="A75" t="s">
        <v>584</v>
      </c>
    </row>
    <row r="76" spans="1:1">
      <c r="A76" t="s">
        <v>585</v>
      </c>
    </row>
    <row r="77" spans="1:1">
      <c r="A77" t="s">
        <v>586</v>
      </c>
    </row>
    <row r="78" spans="1:1">
      <c r="A78" t="s">
        <v>587</v>
      </c>
    </row>
    <row r="79" spans="1:1">
      <c r="A79" t="s">
        <v>588</v>
      </c>
    </row>
    <row r="80" spans="1:1">
      <c r="A80" t="s">
        <v>589</v>
      </c>
    </row>
    <row r="81" spans="1:1">
      <c r="A81" t="s">
        <v>590</v>
      </c>
    </row>
    <row r="82" spans="1:1">
      <c r="A82" t="s">
        <v>591</v>
      </c>
    </row>
    <row r="83" spans="1:1">
      <c r="A83" t="s">
        <v>592</v>
      </c>
    </row>
    <row r="84" spans="1:1">
      <c r="A84" t="s">
        <v>593</v>
      </c>
    </row>
    <row r="85" spans="1:1">
      <c r="A85" t="s">
        <v>594</v>
      </c>
    </row>
    <row r="86" spans="1:1">
      <c r="A86" t="s">
        <v>595</v>
      </c>
    </row>
    <row r="87" spans="1:1">
      <c r="A87" t="s">
        <v>596</v>
      </c>
    </row>
    <row r="88" spans="1:1">
      <c r="A88" t="s">
        <v>597</v>
      </c>
    </row>
    <row r="89" spans="1:1">
      <c r="A89" t="s">
        <v>598</v>
      </c>
    </row>
    <row r="90" spans="1:1">
      <c r="A90" t="s">
        <v>599</v>
      </c>
    </row>
    <row r="91" spans="1:1">
      <c r="A91" t="s">
        <v>600</v>
      </c>
    </row>
    <row r="92" spans="1:1">
      <c r="A92" t="s">
        <v>601</v>
      </c>
    </row>
    <row r="93" spans="1:1">
      <c r="A93" t="s">
        <v>602</v>
      </c>
    </row>
    <row r="94" spans="1:1">
      <c r="A94" t="s">
        <v>603</v>
      </c>
    </row>
    <row r="95" spans="1:1">
      <c r="A95" t="s">
        <v>604</v>
      </c>
    </row>
    <row r="96" spans="1:1">
      <c r="A96" t="s">
        <v>605</v>
      </c>
    </row>
    <row r="97" spans="1:1">
      <c r="A97" t="s">
        <v>606</v>
      </c>
    </row>
    <row r="98" spans="1:1">
      <c r="A98" t="s">
        <v>607</v>
      </c>
    </row>
    <row r="99" spans="1:1">
      <c r="A99" t="s">
        <v>608</v>
      </c>
    </row>
    <row r="100" spans="1:1">
      <c r="A100" t="s">
        <v>609</v>
      </c>
    </row>
    <row r="101" spans="1:1">
      <c r="A101" t="s">
        <v>610</v>
      </c>
    </row>
    <row r="102" spans="1:1">
      <c r="A102" t="s">
        <v>611</v>
      </c>
    </row>
    <row r="103" spans="1:1">
      <c r="A103" t="s">
        <v>612</v>
      </c>
    </row>
    <row r="104" spans="1:1">
      <c r="A104" t="s">
        <v>794</v>
      </c>
    </row>
    <row r="105" spans="1:1">
      <c r="A105" t="s">
        <v>613</v>
      </c>
    </row>
    <row r="106" spans="1:1">
      <c r="A106" t="s">
        <v>614</v>
      </c>
    </row>
    <row r="107" spans="1:1">
      <c r="A107" t="s">
        <v>615</v>
      </c>
    </row>
    <row r="108" spans="1:1">
      <c r="A108" t="s">
        <v>792</v>
      </c>
    </row>
    <row r="109" spans="1:1">
      <c r="A109" t="s">
        <v>78</v>
      </c>
    </row>
    <row r="110" spans="1:1">
      <c r="A110" t="s">
        <v>80</v>
      </c>
    </row>
    <row r="111" spans="1:1">
      <c r="A111" t="s">
        <v>81</v>
      </c>
    </row>
    <row r="112" spans="1:1">
      <c r="A112" t="s">
        <v>79</v>
      </c>
    </row>
    <row r="113" spans="1:1">
      <c r="A113" t="s">
        <v>164</v>
      </c>
    </row>
    <row r="114" spans="1:1">
      <c r="A114" t="s">
        <v>616</v>
      </c>
    </row>
    <row r="115" spans="1:1">
      <c r="A115" t="s">
        <v>617</v>
      </c>
    </row>
    <row r="116" spans="1:1">
      <c r="A116" t="s">
        <v>618</v>
      </c>
    </row>
    <row r="117" spans="1:1">
      <c r="A117" t="s">
        <v>619</v>
      </c>
    </row>
    <row r="118" spans="1:1">
      <c r="A118" t="s">
        <v>620</v>
      </c>
    </row>
    <row r="119" spans="1:1">
      <c r="A119" t="s">
        <v>621</v>
      </c>
    </row>
    <row r="120" spans="1:1">
      <c r="A120" t="s">
        <v>622</v>
      </c>
    </row>
    <row r="121" spans="1:1">
      <c r="A121" t="s">
        <v>623</v>
      </c>
    </row>
    <row r="122" spans="1:1">
      <c r="A122" t="s">
        <v>624</v>
      </c>
    </row>
    <row r="123" spans="1:1">
      <c r="A123" t="s">
        <v>625</v>
      </c>
    </row>
    <row r="124" spans="1:1">
      <c r="A124" t="s">
        <v>626</v>
      </c>
    </row>
    <row r="125" spans="1:1">
      <c r="A125" t="s">
        <v>627</v>
      </c>
    </row>
    <row r="126" spans="1:1">
      <c r="A126" t="s">
        <v>628</v>
      </c>
    </row>
    <row r="127" spans="1:1">
      <c r="A127" t="s">
        <v>629</v>
      </c>
    </row>
    <row r="128" spans="1:1">
      <c r="A128" t="s">
        <v>630</v>
      </c>
    </row>
    <row r="129" spans="1:1">
      <c r="A129" t="s">
        <v>631</v>
      </c>
    </row>
    <row r="130" spans="1:1">
      <c r="A130" t="s">
        <v>632</v>
      </c>
    </row>
    <row r="131" spans="1:1">
      <c r="A131" t="s">
        <v>633</v>
      </c>
    </row>
    <row r="132" spans="1:1">
      <c r="A132" t="s">
        <v>634</v>
      </c>
    </row>
    <row r="133" spans="1:1">
      <c r="A133" t="s">
        <v>635</v>
      </c>
    </row>
    <row r="134" spans="1:1">
      <c r="A134" t="s">
        <v>636</v>
      </c>
    </row>
    <row r="135" spans="1:1">
      <c r="A135" t="s">
        <v>637</v>
      </c>
    </row>
    <row r="136" spans="1:1">
      <c r="A136" t="s">
        <v>638</v>
      </c>
    </row>
    <row r="137" spans="1:1">
      <c r="A137" t="s">
        <v>639</v>
      </c>
    </row>
    <row r="138" spans="1:1">
      <c r="A138" t="s">
        <v>640</v>
      </c>
    </row>
    <row r="139" spans="1:1">
      <c r="A139" t="s">
        <v>641</v>
      </c>
    </row>
    <row r="140" spans="1:1">
      <c r="A140" t="s">
        <v>642</v>
      </c>
    </row>
    <row r="141" spans="1:1">
      <c r="A141" t="s">
        <v>643</v>
      </c>
    </row>
    <row r="142" spans="1:1">
      <c r="A142" t="s">
        <v>644</v>
      </c>
    </row>
    <row r="143" spans="1:1">
      <c r="A143" t="s">
        <v>645</v>
      </c>
    </row>
    <row r="144" spans="1:1">
      <c r="A144" t="s">
        <v>646</v>
      </c>
    </row>
    <row r="145" spans="1:1">
      <c r="A145" t="s">
        <v>647</v>
      </c>
    </row>
    <row r="146" spans="1:1">
      <c r="A146" t="s">
        <v>648</v>
      </c>
    </row>
    <row r="147" spans="1:1">
      <c r="A147" t="s">
        <v>649</v>
      </c>
    </row>
    <row r="148" spans="1:1">
      <c r="A148" t="s">
        <v>650</v>
      </c>
    </row>
    <row r="149" spans="1:1">
      <c r="A149" t="s">
        <v>651</v>
      </c>
    </row>
    <row r="150" spans="1:1">
      <c r="A150" t="s">
        <v>652</v>
      </c>
    </row>
    <row r="151" spans="1:1">
      <c r="A151" t="s">
        <v>653</v>
      </c>
    </row>
    <row r="152" spans="1:1">
      <c r="A152" t="s">
        <v>654</v>
      </c>
    </row>
    <row r="153" spans="1:1">
      <c r="A153" t="s">
        <v>655</v>
      </c>
    </row>
    <row r="154" spans="1:1">
      <c r="A154" t="s">
        <v>656</v>
      </c>
    </row>
    <row r="155" spans="1:1">
      <c r="A155" t="s">
        <v>657</v>
      </c>
    </row>
    <row r="156" spans="1:1">
      <c r="A156" t="s">
        <v>658</v>
      </c>
    </row>
    <row r="157" spans="1:1">
      <c r="A157" t="s">
        <v>659</v>
      </c>
    </row>
    <row r="158" spans="1:1">
      <c r="A158" t="s">
        <v>660</v>
      </c>
    </row>
    <row r="159" spans="1:1">
      <c r="A159" t="s">
        <v>661</v>
      </c>
    </row>
    <row r="160" spans="1:1">
      <c r="A160" t="s">
        <v>662</v>
      </c>
    </row>
    <row r="161" spans="1:1">
      <c r="A161" t="s">
        <v>663</v>
      </c>
    </row>
    <row r="162" spans="1:1">
      <c r="A162" t="s">
        <v>664</v>
      </c>
    </row>
    <row r="163" spans="1:1">
      <c r="A163" t="s">
        <v>665</v>
      </c>
    </row>
    <row r="164" spans="1:1">
      <c r="A164" t="s">
        <v>666</v>
      </c>
    </row>
    <row r="165" spans="1:1">
      <c r="A165" t="s">
        <v>667</v>
      </c>
    </row>
    <row r="166" spans="1:1">
      <c r="A166" t="s">
        <v>668</v>
      </c>
    </row>
    <row r="167" spans="1:1">
      <c r="A167" t="s">
        <v>669</v>
      </c>
    </row>
    <row r="168" spans="1:1">
      <c r="A168" t="s">
        <v>670</v>
      </c>
    </row>
    <row r="169" spans="1:1">
      <c r="A169" t="s">
        <v>671</v>
      </c>
    </row>
    <row r="170" spans="1:1">
      <c r="A170" t="s">
        <v>672</v>
      </c>
    </row>
    <row r="171" spans="1:1">
      <c r="A171" t="s">
        <v>673</v>
      </c>
    </row>
    <row r="172" spans="1:1">
      <c r="A172" t="s">
        <v>674</v>
      </c>
    </row>
    <row r="173" spans="1:1">
      <c r="A173" t="s">
        <v>675</v>
      </c>
    </row>
    <row r="174" spans="1:1">
      <c r="A174" t="s">
        <v>676</v>
      </c>
    </row>
    <row r="175" spans="1:1">
      <c r="A175" t="s">
        <v>677</v>
      </c>
    </row>
    <row r="176" spans="1:1">
      <c r="A176" t="s">
        <v>678</v>
      </c>
    </row>
    <row r="177" spans="1:1">
      <c r="A177" t="s">
        <v>679</v>
      </c>
    </row>
    <row r="178" spans="1:1">
      <c r="A178" t="s">
        <v>680</v>
      </c>
    </row>
    <row r="179" spans="1:1">
      <c r="A179" t="s">
        <v>681</v>
      </c>
    </row>
    <row r="180" spans="1:1">
      <c r="A180" t="s">
        <v>682</v>
      </c>
    </row>
    <row r="181" spans="1:1">
      <c r="A181" t="s">
        <v>683</v>
      </c>
    </row>
    <row r="182" spans="1:1">
      <c r="A182" t="s">
        <v>684</v>
      </c>
    </row>
    <row r="183" spans="1:1">
      <c r="A183" t="s">
        <v>685</v>
      </c>
    </row>
    <row r="184" spans="1:1">
      <c r="A184" t="s">
        <v>686</v>
      </c>
    </row>
    <row r="185" spans="1:1">
      <c r="A185" t="s">
        <v>687</v>
      </c>
    </row>
    <row r="186" spans="1:1">
      <c r="A186" t="s">
        <v>688</v>
      </c>
    </row>
    <row r="187" spans="1:1">
      <c r="A187" t="s">
        <v>689</v>
      </c>
    </row>
    <row r="188" spans="1:1">
      <c r="A188" t="s">
        <v>690</v>
      </c>
    </row>
    <row r="189" spans="1:1">
      <c r="A189" t="s">
        <v>691</v>
      </c>
    </row>
    <row r="190" spans="1:1">
      <c r="A190" t="s">
        <v>692</v>
      </c>
    </row>
    <row r="191" spans="1:1">
      <c r="A191" t="s">
        <v>693</v>
      </c>
    </row>
    <row r="192" spans="1:1">
      <c r="A192" t="s">
        <v>694</v>
      </c>
    </row>
    <row r="193" spans="1:1">
      <c r="A193" t="s">
        <v>695</v>
      </c>
    </row>
    <row r="194" spans="1:1">
      <c r="A194" t="s">
        <v>696</v>
      </c>
    </row>
    <row r="195" spans="1:1">
      <c r="A195" t="s">
        <v>697</v>
      </c>
    </row>
    <row r="196" spans="1:1">
      <c r="A196" t="s">
        <v>698</v>
      </c>
    </row>
    <row r="197" spans="1:1">
      <c r="A197" t="s">
        <v>699</v>
      </c>
    </row>
    <row r="198" spans="1:1">
      <c r="A198" t="s">
        <v>700</v>
      </c>
    </row>
    <row r="199" spans="1:1">
      <c r="A199" t="s">
        <v>701</v>
      </c>
    </row>
    <row r="200" spans="1:1">
      <c r="A200" t="s">
        <v>702</v>
      </c>
    </row>
    <row r="201" spans="1:1">
      <c r="A201" t="s">
        <v>703</v>
      </c>
    </row>
    <row r="202" spans="1:1">
      <c r="A202" t="s">
        <v>704</v>
      </c>
    </row>
    <row r="203" spans="1:1">
      <c r="A203" t="s">
        <v>705</v>
      </c>
    </row>
    <row r="204" spans="1:1">
      <c r="A204" t="s">
        <v>706</v>
      </c>
    </row>
    <row r="205" spans="1:1">
      <c r="A205" t="s">
        <v>707</v>
      </c>
    </row>
    <row r="206" spans="1:1">
      <c r="A206" t="s">
        <v>708</v>
      </c>
    </row>
    <row r="207" spans="1:1">
      <c r="A207" t="s">
        <v>709</v>
      </c>
    </row>
    <row r="208" spans="1:1">
      <c r="A208" t="s">
        <v>710</v>
      </c>
    </row>
    <row r="209" spans="1:1">
      <c r="A209" t="s">
        <v>711</v>
      </c>
    </row>
    <row r="210" spans="1:1">
      <c r="A210" t="s">
        <v>712</v>
      </c>
    </row>
    <row r="211" spans="1:1">
      <c r="A211" t="s">
        <v>713</v>
      </c>
    </row>
    <row r="212" spans="1:1">
      <c r="A212" t="s">
        <v>714</v>
      </c>
    </row>
    <row r="213" spans="1:1">
      <c r="A213" t="s">
        <v>715</v>
      </c>
    </row>
    <row r="214" spans="1:1">
      <c r="A214" t="s">
        <v>716</v>
      </c>
    </row>
    <row r="215" spans="1:1">
      <c r="A215" t="s">
        <v>717</v>
      </c>
    </row>
    <row r="216" spans="1:1">
      <c r="A216" t="s">
        <v>718</v>
      </c>
    </row>
    <row r="217" spans="1:1">
      <c r="A217" t="s">
        <v>719</v>
      </c>
    </row>
    <row r="218" spans="1:1">
      <c r="A218" t="s">
        <v>720</v>
      </c>
    </row>
    <row r="219" spans="1:1">
      <c r="A219" t="s">
        <v>721</v>
      </c>
    </row>
    <row r="220" spans="1:1">
      <c r="A220" t="s">
        <v>722</v>
      </c>
    </row>
    <row r="221" spans="1:1">
      <c r="A221" t="s">
        <v>723</v>
      </c>
    </row>
    <row r="222" spans="1:1">
      <c r="A222" t="s">
        <v>724</v>
      </c>
    </row>
    <row r="223" spans="1:1">
      <c r="A223" t="s">
        <v>725</v>
      </c>
    </row>
    <row r="224" spans="1:1">
      <c r="A224" t="s">
        <v>726</v>
      </c>
    </row>
    <row r="225" spans="1:1">
      <c r="A225" t="s">
        <v>727</v>
      </c>
    </row>
    <row r="226" spans="1:1">
      <c r="A226" t="s">
        <v>728</v>
      </c>
    </row>
    <row r="227" spans="1:1">
      <c r="A227" t="s">
        <v>729</v>
      </c>
    </row>
    <row r="228" spans="1:1">
      <c r="A228" t="s">
        <v>730</v>
      </c>
    </row>
    <row r="229" spans="1:1">
      <c r="A229" t="s">
        <v>731</v>
      </c>
    </row>
    <row r="230" spans="1:1">
      <c r="A230" t="s">
        <v>732</v>
      </c>
    </row>
    <row r="231" spans="1:1">
      <c r="A231" t="s">
        <v>733</v>
      </c>
    </row>
    <row r="232" spans="1:1">
      <c r="A232" t="s">
        <v>734</v>
      </c>
    </row>
    <row r="233" spans="1:1">
      <c r="A233" t="s">
        <v>735</v>
      </c>
    </row>
    <row r="234" spans="1:1">
      <c r="A234" t="s">
        <v>165</v>
      </c>
    </row>
    <row r="235" spans="1:1">
      <c r="A235" t="s">
        <v>82</v>
      </c>
    </row>
    <row r="236" spans="1:1">
      <c r="A236" t="s">
        <v>84</v>
      </c>
    </row>
    <row r="237" spans="1:1">
      <c r="A237" t="s">
        <v>142</v>
      </c>
    </row>
    <row r="238" spans="1:1">
      <c r="A238" t="s">
        <v>83</v>
      </c>
    </row>
    <row r="239" spans="1:1">
      <c r="A239" t="s">
        <v>85</v>
      </c>
    </row>
    <row r="240" spans="1:1">
      <c r="A240" t="s">
        <v>143</v>
      </c>
    </row>
    <row r="241" spans="1:1">
      <c r="A241" t="s">
        <v>46</v>
      </c>
    </row>
    <row r="242" spans="1:1">
      <c r="A242" t="s">
        <v>44</v>
      </c>
    </row>
    <row r="243" spans="1:1">
      <c r="A243" t="s">
        <v>45</v>
      </c>
    </row>
    <row r="244" spans="1:1">
      <c r="A244" t="s">
        <v>1121</v>
      </c>
    </row>
    <row r="245" spans="1:1">
      <c r="A245" t="s">
        <v>86</v>
      </c>
    </row>
    <row r="246" spans="1:1">
      <c r="A246" t="s">
        <v>105</v>
      </c>
    </row>
    <row r="247" spans="1:1">
      <c r="A247" t="s">
        <v>790</v>
      </c>
    </row>
    <row r="248" spans="1:1">
      <c r="A248" t="s">
        <v>68</v>
      </c>
    </row>
    <row r="249" spans="1:1">
      <c r="A249" t="s">
        <v>69</v>
      </c>
    </row>
    <row r="250" spans="1:1">
      <c r="A250" t="s">
        <v>159</v>
      </c>
    </row>
    <row r="251" spans="1:1">
      <c r="A251" t="s">
        <v>160</v>
      </c>
    </row>
    <row r="252" spans="1:1">
      <c r="A252" t="s">
        <v>788</v>
      </c>
    </row>
    <row r="253" spans="1:1">
      <c r="A253" t="s">
        <v>157</v>
      </c>
    </row>
    <row r="254" spans="1:1">
      <c r="A254" t="s">
        <v>786</v>
      </c>
    </row>
    <row r="255" spans="1:1">
      <c r="A255" t="s">
        <v>116</v>
      </c>
    </row>
    <row r="256" spans="1:1">
      <c r="A256" t="s">
        <v>117</v>
      </c>
    </row>
    <row r="257" spans="1:1">
      <c r="A257" t="s">
        <v>118</v>
      </c>
    </row>
    <row r="258" spans="1:1">
      <c r="A258" t="s">
        <v>119</v>
      </c>
    </row>
    <row r="259" spans="1:1">
      <c r="A259" t="s">
        <v>120</v>
      </c>
    </row>
    <row r="260" spans="1:1">
      <c r="A260" t="s">
        <v>141</v>
      </c>
    </row>
    <row r="261" spans="1:1">
      <c r="A261" t="s">
        <v>144</v>
      </c>
    </row>
    <row r="262" spans="1:1">
      <c r="A262" t="s">
        <v>145</v>
      </c>
    </row>
    <row r="263" spans="1:1">
      <c r="A263" t="s">
        <v>146</v>
      </c>
    </row>
    <row r="264" spans="1:1">
      <c r="A264" t="s">
        <v>147</v>
      </c>
    </row>
    <row r="265" spans="1:1">
      <c r="A265" t="s">
        <v>148</v>
      </c>
    </row>
    <row r="266" spans="1:1">
      <c r="A266" t="s">
        <v>149</v>
      </c>
    </row>
    <row r="267" spans="1:1">
      <c r="A267" t="s">
        <v>150</v>
      </c>
    </row>
    <row r="268" spans="1:1">
      <c r="A268" t="s">
        <v>151</v>
      </c>
    </row>
    <row r="269" spans="1:1">
      <c r="A269" t="s">
        <v>152</v>
      </c>
    </row>
    <row r="270" spans="1:1">
      <c r="A270" t="s">
        <v>153</v>
      </c>
    </row>
    <row r="271" spans="1:1">
      <c r="A271" t="s">
        <v>154</v>
      </c>
    </row>
    <row r="272" spans="1:1">
      <c r="A272" t="s">
        <v>155</v>
      </c>
    </row>
    <row r="273" spans="1:1">
      <c r="A273" t="s">
        <v>784</v>
      </c>
    </row>
    <row r="274" spans="1:1">
      <c r="A274" t="s">
        <v>121</v>
      </c>
    </row>
    <row r="275" spans="1:1">
      <c r="A275" t="s">
        <v>782</v>
      </c>
    </row>
    <row r="276" spans="1:1">
      <c r="A276" t="s">
        <v>820</v>
      </c>
    </row>
    <row r="277" spans="1:1">
      <c r="A277" t="s">
        <v>821</v>
      </c>
    </row>
    <row r="278" spans="1:1">
      <c r="A278" t="s">
        <v>781</v>
      </c>
    </row>
    <row r="279" spans="1:1">
      <c r="A279" t="s">
        <v>822</v>
      </c>
    </row>
    <row r="280" spans="1:1">
      <c r="A280" t="s">
        <v>823</v>
      </c>
    </row>
    <row r="281" spans="1:1">
      <c r="A281" t="s">
        <v>824</v>
      </c>
    </row>
    <row r="282" spans="1:1">
      <c r="A282" t="s">
        <v>825</v>
      </c>
    </row>
    <row r="283" spans="1:1">
      <c r="A283" t="s">
        <v>826</v>
      </c>
    </row>
    <row r="284" spans="1:1">
      <c r="A284" t="s">
        <v>827</v>
      </c>
    </row>
    <row r="285" spans="1:1">
      <c r="A285" t="s">
        <v>828</v>
      </c>
    </row>
    <row r="286" spans="1:1">
      <c r="A286" t="s">
        <v>829</v>
      </c>
    </row>
    <row r="287" spans="1:1">
      <c r="A287" t="s">
        <v>830</v>
      </c>
    </row>
    <row r="288" spans="1:1">
      <c r="A288" t="s">
        <v>831</v>
      </c>
    </row>
    <row r="289" spans="1:1">
      <c r="A289" t="s">
        <v>780</v>
      </c>
    </row>
    <row r="290" spans="1:1">
      <c r="A290" t="s">
        <v>832</v>
      </c>
    </row>
    <row r="291" spans="1:1">
      <c r="A291" t="s">
        <v>833</v>
      </c>
    </row>
    <row r="292" spans="1:1">
      <c r="A292" t="s">
        <v>834</v>
      </c>
    </row>
    <row r="293" spans="1:1">
      <c r="A293" t="s">
        <v>835</v>
      </c>
    </row>
    <row r="294" spans="1:1">
      <c r="A294" t="s">
        <v>836</v>
      </c>
    </row>
    <row r="295" spans="1:1">
      <c r="A295" t="s">
        <v>837</v>
      </c>
    </row>
    <row r="296" spans="1:1">
      <c r="A296" t="s">
        <v>838</v>
      </c>
    </row>
    <row r="297" spans="1:1">
      <c r="A297" t="s">
        <v>839</v>
      </c>
    </row>
    <row r="298" spans="1:1">
      <c r="A298" t="s">
        <v>840</v>
      </c>
    </row>
    <row r="299" spans="1:1">
      <c r="A299" t="s">
        <v>841</v>
      </c>
    </row>
    <row r="300" spans="1:1">
      <c r="A300" t="s">
        <v>842</v>
      </c>
    </row>
    <row r="301" spans="1:1">
      <c r="A301" t="s">
        <v>843</v>
      </c>
    </row>
    <row r="302" spans="1:1">
      <c r="A302" t="s">
        <v>844</v>
      </c>
    </row>
    <row r="303" spans="1:1">
      <c r="A303" t="s">
        <v>845</v>
      </c>
    </row>
    <row r="304" spans="1:1">
      <c r="A304" t="s">
        <v>846</v>
      </c>
    </row>
    <row r="305" spans="1:1">
      <c r="A305" t="s">
        <v>847</v>
      </c>
    </row>
    <row r="306" spans="1:1">
      <c r="A306" t="s">
        <v>848</v>
      </c>
    </row>
    <row r="307" spans="1:1">
      <c r="A307" t="s">
        <v>849</v>
      </c>
    </row>
    <row r="308" spans="1:1">
      <c r="A308" t="s">
        <v>850</v>
      </c>
    </row>
    <row r="309" spans="1:1">
      <c r="A309" t="s">
        <v>851</v>
      </c>
    </row>
    <row r="310" spans="1:1">
      <c r="A310" t="s">
        <v>852</v>
      </c>
    </row>
    <row r="311" spans="1:1">
      <c r="A311" t="s">
        <v>853</v>
      </c>
    </row>
    <row r="312" spans="1:1">
      <c r="A312" t="s">
        <v>854</v>
      </c>
    </row>
    <row r="313" spans="1:1">
      <c r="A313" t="s">
        <v>855</v>
      </c>
    </row>
    <row r="314" spans="1:1">
      <c r="A314" t="s">
        <v>856</v>
      </c>
    </row>
    <row r="315" spans="1:1">
      <c r="A315" t="s">
        <v>857</v>
      </c>
    </row>
    <row r="316" spans="1:1">
      <c r="A316" t="s">
        <v>858</v>
      </c>
    </row>
    <row r="317" spans="1:1">
      <c r="A317" t="s">
        <v>859</v>
      </c>
    </row>
    <row r="318" spans="1:1">
      <c r="A318" t="s">
        <v>860</v>
      </c>
    </row>
    <row r="319" spans="1:1">
      <c r="A319" t="s">
        <v>861</v>
      </c>
    </row>
    <row r="320" spans="1:1">
      <c r="A320" t="s">
        <v>862</v>
      </c>
    </row>
    <row r="321" spans="1:1">
      <c r="A321" t="s">
        <v>863</v>
      </c>
    </row>
    <row r="322" spans="1:1">
      <c r="A322" t="s">
        <v>864</v>
      </c>
    </row>
    <row r="323" spans="1:1">
      <c r="A323" t="s">
        <v>865</v>
      </c>
    </row>
    <row r="324" spans="1:1">
      <c r="A324" t="s">
        <v>866</v>
      </c>
    </row>
    <row r="325" spans="1:1">
      <c r="A325" t="s">
        <v>867</v>
      </c>
    </row>
    <row r="326" spans="1:1">
      <c r="A326" t="s">
        <v>868</v>
      </c>
    </row>
    <row r="327" spans="1:1">
      <c r="A327" t="s">
        <v>869</v>
      </c>
    </row>
    <row r="328" spans="1:1">
      <c r="A328" t="s">
        <v>870</v>
      </c>
    </row>
    <row r="329" spans="1:1">
      <c r="A329" t="s">
        <v>871</v>
      </c>
    </row>
    <row r="330" spans="1:1">
      <c r="A330" t="s">
        <v>872</v>
      </c>
    </row>
    <row r="331" spans="1:1">
      <c r="A331" t="s">
        <v>873</v>
      </c>
    </row>
    <row r="332" spans="1:1">
      <c r="A332" t="s">
        <v>874</v>
      </c>
    </row>
    <row r="333" spans="1:1">
      <c r="A333" t="s">
        <v>875</v>
      </c>
    </row>
    <row r="334" spans="1:1">
      <c r="A334" t="s">
        <v>876</v>
      </c>
    </row>
    <row r="335" spans="1:1">
      <c r="A335" t="s">
        <v>877</v>
      </c>
    </row>
    <row r="336" spans="1:1">
      <c r="A336" t="s">
        <v>878</v>
      </c>
    </row>
    <row r="337" spans="1:1">
      <c r="A337" t="s">
        <v>879</v>
      </c>
    </row>
    <row r="338" spans="1:1">
      <c r="A338" t="s">
        <v>880</v>
      </c>
    </row>
    <row r="339" spans="1:1">
      <c r="A339" t="s">
        <v>881</v>
      </c>
    </row>
    <row r="340" spans="1:1">
      <c r="A340" t="s">
        <v>779</v>
      </c>
    </row>
    <row r="341" spans="1:1">
      <c r="A341" t="s">
        <v>882</v>
      </c>
    </row>
    <row r="342" spans="1:1">
      <c r="A342" t="s">
        <v>883</v>
      </c>
    </row>
    <row r="343" spans="1:1">
      <c r="A343" t="s">
        <v>884</v>
      </c>
    </row>
    <row r="344" spans="1:1">
      <c r="A344" t="s">
        <v>885</v>
      </c>
    </row>
    <row r="345" spans="1:1">
      <c r="A345" t="s">
        <v>886</v>
      </c>
    </row>
    <row r="346" spans="1:1">
      <c r="A346" t="s">
        <v>887</v>
      </c>
    </row>
    <row r="347" spans="1:1">
      <c r="A347" t="s">
        <v>888</v>
      </c>
    </row>
    <row r="348" spans="1:1">
      <c r="A348" t="s">
        <v>889</v>
      </c>
    </row>
    <row r="349" spans="1:1">
      <c r="A349" t="s">
        <v>890</v>
      </c>
    </row>
    <row r="350" spans="1:1">
      <c r="A350" t="s">
        <v>778</v>
      </c>
    </row>
    <row r="351" spans="1:1">
      <c r="A351" t="s">
        <v>777</v>
      </c>
    </row>
    <row r="352" spans="1:1">
      <c r="A352" t="s">
        <v>776</v>
      </c>
    </row>
    <row r="353" spans="1:1">
      <c r="A353" t="s">
        <v>891</v>
      </c>
    </row>
    <row r="354" spans="1:1">
      <c r="A354" t="s">
        <v>892</v>
      </c>
    </row>
    <row r="355" spans="1:1">
      <c r="A355" t="s">
        <v>893</v>
      </c>
    </row>
    <row r="356" spans="1:1">
      <c r="A356" t="s">
        <v>894</v>
      </c>
    </row>
    <row r="357" spans="1:1">
      <c r="A357" t="s">
        <v>895</v>
      </c>
    </row>
    <row r="358" spans="1:1">
      <c r="A358" t="s">
        <v>896</v>
      </c>
    </row>
    <row r="359" spans="1:1">
      <c r="A359" t="s">
        <v>897</v>
      </c>
    </row>
    <row r="360" spans="1:1">
      <c r="A360" t="s">
        <v>898</v>
      </c>
    </row>
    <row r="361" spans="1:1">
      <c r="A361" t="s">
        <v>899</v>
      </c>
    </row>
    <row r="362" spans="1:1">
      <c r="A362" t="s">
        <v>900</v>
      </c>
    </row>
    <row r="363" spans="1:1">
      <c r="A363" t="s">
        <v>901</v>
      </c>
    </row>
    <row r="364" spans="1:1">
      <c r="A364" t="s">
        <v>902</v>
      </c>
    </row>
    <row r="365" spans="1:1">
      <c r="A365" t="s">
        <v>903</v>
      </c>
    </row>
    <row r="366" spans="1:1">
      <c r="A366" t="s">
        <v>904</v>
      </c>
    </row>
    <row r="367" spans="1:1">
      <c r="A367" t="s">
        <v>905</v>
      </c>
    </row>
    <row r="368" spans="1:1">
      <c r="A368" t="s">
        <v>906</v>
      </c>
    </row>
    <row r="369" spans="1:1">
      <c r="A369" t="s">
        <v>907</v>
      </c>
    </row>
    <row r="370" spans="1:1">
      <c r="A370" t="s">
        <v>908</v>
      </c>
    </row>
    <row r="371" spans="1:1">
      <c r="A371" t="s">
        <v>909</v>
      </c>
    </row>
    <row r="372" spans="1:1">
      <c r="A372" t="s">
        <v>123</v>
      </c>
    </row>
    <row r="373" spans="1:1">
      <c r="A373" t="s">
        <v>910</v>
      </c>
    </row>
    <row r="374" spans="1:1">
      <c r="A374" t="s">
        <v>911</v>
      </c>
    </row>
    <row r="375" spans="1:1">
      <c r="A375" t="s">
        <v>912</v>
      </c>
    </row>
    <row r="376" spans="1:1">
      <c r="A376" t="s">
        <v>913</v>
      </c>
    </row>
    <row r="377" spans="1:1">
      <c r="A377" t="s">
        <v>914</v>
      </c>
    </row>
    <row r="378" spans="1:1">
      <c r="A378" t="s">
        <v>915</v>
      </c>
    </row>
    <row r="379" spans="1:1">
      <c r="A379" t="s">
        <v>916</v>
      </c>
    </row>
    <row r="380" spans="1:1">
      <c r="A380" t="s">
        <v>917</v>
      </c>
    </row>
    <row r="381" spans="1:1">
      <c r="A381" t="s">
        <v>918</v>
      </c>
    </row>
    <row r="382" spans="1:1">
      <c r="A382" t="s">
        <v>919</v>
      </c>
    </row>
    <row r="383" spans="1:1">
      <c r="A383" t="s">
        <v>920</v>
      </c>
    </row>
    <row r="384" spans="1:1">
      <c r="A384" t="s">
        <v>921</v>
      </c>
    </row>
    <row r="385" spans="1:1">
      <c r="A385" t="s">
        <v>922</v>
      </c>
    </row>
    <row r="386" spans="1:1">
      <c r="A386" t="s">
        <v>923</v>
      </c>
    </row>
    <row r="387" spans="1:1">
      <c r="A387" t="s">
        <v>924</v>
      </c>
    </row>
    <row r="388" spans="1:1">
      <c r="A388" t="s">
        <v>925</v>
      </c>
    </row>
    <row r="389" spans="1:1">
      <c r="A389" t="s">
        <v>926</v>
      </c>
    </row>
    <row r="390" spans="1:1">
      <c r="A390" t="s">
        <v>927</v>
      </c>
    </row>
    <row r="391" spans="1:1">
      <c r="A391" t="s">
        <v>928</v>
      </c>
    </row>
    <row r="392" spans="1:1">
      <c r="A392" t="s">
        <v>929</v>
      </c>
    </row>
    <row r="393" spans="1:1">
      <c r="A393" t="s">
        <v>930</v>
      </c>
    </row>
    <row r="394" spans="1:1">
      <c r="A394" t="s">
        <v>931</v>
      </c>
    </row>
    <row r="395" spans="1:1">
      <c r="A395" t="s">
        <v>932</v>
      </c>
    </row>
    <row r="396" spans="1:1">
      <c r="A396" t="s">
        <v>933</v>
      </c>
    </row>
    <row r="397" spans="1:1">
      <c r="A397" t="s">
        <v>934</v>
      </c>
    </row>
    <row r="398" spans="1:1">
      <c r="A398" t="s">
        <v>935</v>
      </c>
    </row>
    <row r="399" spans="1:1">
      <c r="A399" t="s">
        <v>936</v>
      </c>
    </row>
    <row r="400" spans="1:1">
      <c r="A400" t="s">
        <v>937</v>
      </c>
    </row>
    <row r="401" spans="1:1">
      <c r="A401" t="s">
        <v>938</v>
      </c>
    </row>
    <row r="402" spans="1:1">
      <c r="A402" t="s">
        <v>939</v>
      </c>
    </row>
    <row r="403" spans="1:1">
      <c r="A403" t="s">
        <v>940</v>
      </c>
    </row>
    <row r="404" spans="1:1">
      <c r="A404" t="s">
        <v>941</v>
      </c>
    </row>
    <row r="405" spans="1:1">
      <c r="A405" t="s">
        <v>942</v>
      </c>
    </row>
    <row r="406" spans="1:1">
      <c r="A406" t="s">
        <v>943</v>
      </c>
    </row>
    <row r="407" spans="1:1">
      <c r="A407" t="s">
        <v>944</v>
      </c>
    </row>
    <row r="408" spans="1:1">
      <c r="A408" t="s">
        <v>945</v>
      </c>
    </row>
    <row r="409" spans="1:1">
      <c r="A409" t="s">
        <v>946</v>
      </c>
    </row>
    <row r="410" spans="1:1">
      <c r="A410" t="s">
        <v>947</v>
      </c>
    </row>
    <row r="411" spans="1:1">
      <c r="A411" t="s">
        <v>948</v>
      </c>
    </row>
    <row r="412" spans="1:1">
      <c r="A412" t="s">
        <v>949</v>
      </c>
    </row>
    <row r="413" spans="1:1">
      <c r="A413" t="s">
        <v>950</v>
      </c>
    </row>
    <row r="414" spans="1:1">
      <c r="A414" t="s">
        <v>951</v>
      </c>
    </row>
    <row r="415" spans="1:1">
      <c r="A415" t="s">
        <v>952</v>
      </c>
    </row>
    <row r="416" spans="1:1">
      <c r="A416" t="s">
        <v>953</v>
      </c>
    </row>
    <row r="417" spans="1:1">
      <c r="A417" t="s">
        <v>954</v>
      </c>
    </row>
    <row r="418" spans="1:1">
      <c r="A418" t="s">
        <v>955</v>
      </c>
    </row>
    <row r="419" spans="1:1">
      <c r="A419" t="s">
        <v>956</v>
      </c>
    </row>
    <row r="420" spans="1:1">
      <c r="A420" t="s">
        <v>957</v>
      </c>
    </row>
    <row r="421" spans="1:1">
      <c r="A421" t="s">
        <v>958</v>
      </c>
    </row>
    <row r="422" spans="1:1">
      <c r="A422" t="s">
        <v>959</v>
      </c>
    </row>
    <row r="423" spans="1:1">
      <c r="A423" t="s">
        <v>960</v>
      </c>
    </row>
    <row r="424" spans="1:1">
      <c r="A424" t="s">
        <v>961</v>
      </c>
    </row>
    <row r="425" spans="1:1">
      <c r="A425" t="s">
        <v>962</v>
      </c>
    </row>
    <row r="426" spans="1:1">
      <c r="A426" t="s">
        <v>963</v>
      </c>
    </row>
    <row r="427" spans="1:1">
      <c r="A427" t="s">
        <v>964</v>
      </c>
    </row>
    <row r="428" spans="1:1">
      <c r="A428" t="s">
        <v>965</v>
      </c>
    </row>
    <row r="429" spans="1:1">
      <c r="A429" t="s">
        <v>966</v>
      </c>
    </row>
    <row r="430" spans="1:1">
      <c r="A430" t="s">
        <v>967</v>
      </c>
    </row>
    <row r="431" spans="1:1">
      <c r="A431" t="s">
        <v>968</v>
      </c>
    </row>
    <row r="432" spans="1:1">
      <c r="A432" t="s">
        <v>969</v>
      </c>
    </row>
    <row r="433" spans="1:1">
      <c r="A433" t="s">
        <v>970</v>
      </c>
    </row>
    <row r="434" spans="1:1">
      <c r="A434" t="s">
        <v>971</v>
      </c>
    </row>
    <row r="435" spans="1:1">
      <c r="A435" t="s">
        <v>972</v>
      </c>
    </row>
    <row r="436" spans="1:1">
      <c r="A436" t="s">
        <v>973</v>
      </c>
    </row>
    <row r="437" spans="1:1">
      <c r="A437" t="s">
        <v>974</v>
      </c>
    </row>
    <row r="438" spans="1:1">
      <c r="A438" t="s">
        <v>975</v>
      </c>
    </row>
    <row r="439" spans="1:1">
      <c r="A439" t="s">
        <v>976</v>
      </c>
    </row>
    <row r="440" spans="1:1">
      <c r="A440" t="s">
        <v>977</v>
      </c>
    </row>
    <row r="441" spans="1:1">
      <c r="A441" t="s">
        <v>978</v>
      </c>
    </row>
    <row r="442" spans="1:1">
      <c r="A442" t="s">
        <v>979</v>
      </c>
    </row>
    <row r="443" spans="1:1">
      <c r="A443" t="s">
        <v>980</v>
      </c>
    </row>
    <row r="444" spans="1:1">
      <c r="A444" t="s">
        <v>981</v>
      </c>
    </row>
    <row r="445" spans="1:1">
      <c r="A445" t="s">
        <v>982</v>
      </c>
    </row>
    <row r="446" spans="1:1">
      <c r="A446" t="s">
        <v>983</v>
      </c>
    </row>
    <row r="447" spans="1:1">
      <c r="A447" t="s">
        <v>984</v>
      </c>
    </row>
    <row r="448" spans="1:1">
      <c r="A448" t="s">
        <v>985</v>
      </c>
    </row>
    <row r="449" spans="1:1">
      <c r="A449" t="s">
        <v>986</v>
      </c>
    </row>
    <row r="450" spans="1:1">
      <c r="A450" t="s">
        <v>987</v>
      </c>
    </row>
    <row r="451" spans="1:1">
      <c r="A451" t="s">
        <v>988</v>
      </c>
    </row>
    <row r="452" spans="1:1">
      <c r="A452" t="s">
        <v>989</v>
      </c>
    </row>
    <row r="453" spans="1:1">
      <c r="A453" t="s">
        <v>990</v>
      </c>
    </row>
    <row r="454" spans="1:1">
      <c r="A454" t="s">
        <v>991</v>
      </c>
    </row>
    <row r="455" spans="1:1">
      <c r="A455" t="s">
        <v>992</v>
      </c>
    </row>
    <row r="456" spans="1:1">
      <c r="A456" t="s">
        <v>993</v>
      </c>
    </row>
    <row r="457" spans="1:1">
      <c r="A457" t="s">
        <v>994</v>
      </c>
    </row>
    <row r="458" spans="1:1">
      <c r="A458" t="s">
        <v>995</v>
      </c>
    </row>
    <row r="459" spans="1:1">
      <c r="A459" t="s">
        <v>996</v>
      </c>
    </row>
    <row r="460" spans="1:1">
      <c r="A460" t="s">
        <v>997</v>
      </c>
    </row>
    <row r="461" spans="1:1">
      <c r="A461" t="s">
        <v>998</v>
      </c>
    </row>
    <row r="462" spans="1:1">
      <c r="A462" t="s">
        <v>999</v>
      </c>
    </row>
    <row r="463" spans="1:1">
      <c r="A463" t="s">
        <v>1000</v>
      </c>
    </row>
    <row r="464" spans="1:1">
      <c r="A464" t="s">
        <v>1001</v>
      </c>
    </row>
    <row r="465" spans="1:1">
      <c r="A465" t="s">
        <v>1002</v>
      </c>
    </row>
    <row r="466" spans="1:1">
      <c r="A466" t="s">
        <v>1003</v>
      </c>
    </row>
    <row r="467" spans="1:1">
      <c r="A467" t="s">
        <v>1004</v>
      </c>
    </row>
    <row r="468" spans="1:1">
      <c r="A468" t="s">
        <v>1005</v>
      </c>
    </row>
    <row r="469" spans="1:1">
      <c r="A469" t="s">
        <v>1006</v>
      </c>
    </row>
    <row r="470" spans="1:1">
      <c r="A470" t="s">
        <v>1007</v>
      </c>
    </row>
    <row r="471" spans="1:1">
      <c r="A471" t="s">
        <v>1008</v>
      </c>
    </row>
    <row r="472" spans="1:1">
      <c r="A472" t="s">
        <v>1009</v>
      </c>
    </row>
    <row r="473" spans="1:1">
      <c r="A473" t="s">
        <v>1010</v>
      </c>
    </row>
    <row r="474" spans="1:1">
      <c r="A474" t="s">
        <v>1011</v>
      </c>
    </row>
    <row r="475" spans="1:1">
      <c r="A475" t="s">
        <v>1012</v>
      </c>
    </row>
    <row r="476" spans="1:1">
      <c r="A476" t="s">
        <v>1013</v>
      </c>
    </row>
    <row r="477" spans="1:1">
      <c r="A477" t="s">
        <v>1014</v>
      </c>
    </row>
    <row r="478" spans="1:1">
      <c r="A478" t="s">
        <v>1015</v>
      </c>
    </row>
    <row r="479" spans="1:1">
      <c r="A479" t="s">
        <v>1016</v>
      </c>
    </row>
    <row r="480" spans="1:1">
      <c r="A480" t="s">
        <v>1017</v>
      </c>
    </row>
    <row r="481" spans="1:1">
      <c r="A481" t="s">
        <v>1018</v>
      </c>
    </row>
    <row r="482" spans="1:1">
      <c r="A482" t="s">
        <v>1019</v>
      </c>
    </row>
    <row r="483" spans="1:1">
      <c r="A483" t="s">
        <v>1020</v>
      </c>
    </row>
    <row r="484" spans="1:1">
      <c r="A484" t="s">
        <v>1021</v>
      </c>
    </row>
    <row r="485" spans="1:1">
      <c r="A485" t="s">
        <v>1022</v>
      </c>
    </row>
    <row r="486" spans="1:1">
      <c r="A486" t="s">
        <v>1023</v>
      </c>
    </row>
    <row r="487" spans="1:1">
      <c r="A487" t="s">
        <v>1024</v>
      </c>
    </row>
    <row r="488" spans="1:1">
      <c r="A488" t="s">
        <v>1025</v>
      </c>
    </row>
    <row r="489" spans="1:1">
      <c r="A489" t="s">
        <v>1026</v>
      </c>
    </row>
    <row r="490" spans="1:1">
      <c r="A490" t="s">
        <v>1027</v>
      </c>
    </row>
    <row r="491" spans="1:1">
      <c r="A491" t="s">
        <v>1028</v>
      </c>
    </row>
    <row r="492" spans="1:1">
      <c r="A492" t="s">
        <v>1029</v>
      </c>
    </row>
    <row r="493" spans="1:1">
      <c r="A493" t="s">
        <v>1030</v>
      </c>
    </row>
    <row r="494" spans="1:1">
      <c r="A494" t="s">
        <v>1031</v>
      </c>
    </row>
    <row r="495" spans="1:1">
      <c r="A495" t="s">
        <v>1032</v>
      </c>
    </row>
    <row r="496" spans="1:1">
      <c r="A496" t="s">
        <v>1033</v>
      </c>
    </row>
    <row r="497" spans="1:1">
      <c r="A497" t="s">
        <v>1034</v>
      </c>
    </row>
    <row r="498" spans="1:1">
      <c r="A498" t="s">
        <v>1035</v>
      </c>
    </row>
    <row r="499" spans="1:1">
      <c r="A499" t="s">
        <v>1036</v>
      </c>
    </row>
    <row r="500" spans="1:1">
      <c r="A500" t="s">
        <v>1037</v>
      </c>
    </row>
    <row r="501" spans="1:1">
      <c r="A501" t="s">
        <v>1038</v>
      </c>
    </row>
    <row r="502" spans="1:1">
      <c r="A502" t="s">
        <v>1039</v>
      </c>
    </row>
    <row r="503" spans="1:1">
      <c r="A503" t="s">
        <v>1040</v>
      </c>
    </row>
    <row r="504" spans="1:1">
      <c r="A504" t="s">
        <v>1041</v>
      </c>
    </row>
    <row r="505" spans="1:1">
      <c r="A505" t="s">
        <v>1042</v>
      </c>
    </row>
    <row r="506" spans="1:1">
      <c r="A506" t="s">
        <v>1043</v>
      </c>
    </row>
    <row r="507" spans="1:1">
      <c r="A507" t="s">
        <v>1044</v>
      </c>
    </row>
    <row r="508" spans="1:1">
      <c r="A508" t="s">
        <v>1045</v>
      </c>
    </row>
    <row r="509" spans="1:1">
      <c r="A509" t="s">
        <v>1046</v>
      </c>
    </row>
    <row r="510" spans="1:1">
      <c r="A510" t="s">
        <v>1047</v>
      </c>
    </row>
    <row r="511" spans="1:1">
      <c r="A511" t="s">
        <v>1048</v>
      </c>
    </row>
    <row r="512" spans="1:1">
      <c r="A512" t="s">
        <v>1049</v>
      </c>
    </row>
    <row r="513" spans="1:1">
      <c r="A513" t="s">
        <v>1050</v>
      </c>
    </row>
    <row r="514" spans="1:1">
      <c r="A514" t="s">
        <v>1051</v>
      </c>
    </row>
    <row r="515" spans="1:1">
      <c r="A515" t="s">
        <v>1052</v>
      </c>
    </row>
    <row r="516" spans="1:1">
      <c r="A516" t="s">
        <v>1053</v>
      </c>
    </row>
    <row r="517" spans="1:1">
      <c r="A517" t="s">
        <v>1054</v>
      </c>
    </row>
    <row r="518" spans="1:1">
      <c r="A518" t="s">
        <v>1055</v>
      </c>
    </row>
    <row r="519" spans="1:1">
      <c r="A519" t="s">
        <v>1056</v>
      </c>
    </row>
    <row r="520" spans="1:1">
      <c r="A520" t="s">
        <v>1057</v>
      </c>
    </row>
    <row r="521" spans="1:1">
      <c r="A521" t="s">
        <v>1058</v>
      </c>
    </row>
    <row r="522" spans="1:1">
      <c r="A522" t="s">
        <v>1059</v>
      </c>
    </row>
    <row r="523" spans="1:1">
      <c r="A523" t="s">
        <v>1060</v>
      </c>
    </row>
    <row r="524" spans="1:1">
      <c r="A524" t="s">
        <v>1061</v>
      </c>
    </row>
    <row r="525" spans="1:1">
      <c r="A525" t="s">
        <v>1062</v>
      </c>
    </row>
    <row r="526" spans="1:1">
      <c r="A526" t="s">
        <v>1063</v>
      </c>
    </row>
    <row r="527" spans="1:1">
      <c r="A527" t="s">
        <v>1064</v>
      </c>
    </row>
    <row r="528" spans="1:1">
      <c r="A528" t="s">
        <v>1065</v>
      </c>
    </row>
    <row r="529" spans="1:1">
      <c r="A529" t="s">
        <v>1066</v>
      </c>
    </row>
    <row r="530" spans="1:1">
      <c r="A530" t="s">
        <v>1067</v>
      </c>
    </row>
    <row r="531" spans="1:1">
      <c r="A531" t="s">
        <v>1068</v>
      </c>
    </row>
    <row r="532" spans="1:1">
      <c r="A532" t="s">
        <v>1069</v>
      </c>
    </row>
    <row r="533" spans="1:1">
      <c r="A533" t="s">
        <v>1070</v>
      </c>
    </row>
    <row r="534" spans="1:1">
      <c r="A534" t="s">
        <v>1071</v>
      </c>
    </row>
    <row r="535" spans="1:1">
      <c r="A535" t="s">
        <v>1072</v>
      </c>
    </row>
    <row r="536" spans="1:1">
      <c r="A536" t="s">
        <v>1073</v>
      </c>
    </row>
    <row r="537" spans="1:1">
      <c r="A537" t="s">
        <v>1074</v>
      </c>
    </row>
    <row r="538" spans="1:1">
      <c r="A538" t="s">
        <v>1075</v>
      </c>
    </row>
    <row r="539" spans="1:1">
      <c r="A539" t="s">
        <v>1076</v>
      </c>
    </row>
    <row r="540" spans="1:1">
      <c r="A540" t="s">
        <v>1077</v>
      </c>
    </row>
    <row r="541" spans="1:1">
      <c r="A541" t="s">
        <v>1078</v>
      </c>
    </row>
    <row r="542" spans="1:1">
      <c r="A542" t="s">
        <v>1079</v>
      </c>
    </row>
    <row r="543" spans="1:1">
      <c r="A543" t="s">
        <v>1080</v>
      </c>
    </row>
    <row r="544" spans="1:1">
      <c r="A544" t="s">
        <v>1081</v>
      </c>
    </row>
    <row r="545" spans="1:1">
      <c r="A545" t="s">
        <v>1082</v>
      </c>
    </row>
    <row r="546" spans="1:1">
      <c r="A546" t="s">
        <v>1083</v>
      </c>
    </row>
    <row r="547" spans="1:1">
      <c r="A547" t="s">
        <v>1084</v>
      </c>
    </row>
    <row r="548" spans="1:1">
      <c r="A548" t="s">
        <v>1085</v>
      </c>
    </row>
    <row r="549" spans="1:1">
      <c r="A549" t="s">
        <v>1086</v>
      </c>
    </row>
    <row r="550" spans="1:1">
      <c r="A550" t="s">
        <v>1087</v>
      </c>
    </row>
    <row r="551" spans="1:1">
      <c r="A551" t="s">
        <v>1088</v>
      </c>
    </row>
    <row r="552" spans="1:1">
      <c r="A552" t="s">
        <v>1089</v>
      </c>
    </row>
    <row r="553" spans="1:1">
      <c r="A553" t="s">
        <v>1090</v>
      </c>
    </row>
    <row r="554" spans="1:1">
      <c r="A554" t="s">
        <v>1091</v>
      </c>
    </row>
    <row r="555" spans="1:1">
      <c r="A555" t="s">
        <v>1092</v>
      </c>
    </row>
    <row r="556" spans="1:1">
      <c r="A556" t="s">
        <v>1093</v>
      </c>
    </row>
    <row r="557" spans="1:1">
      <c r="A557" t="s">
        <v>1094</v>
      </c>
    </row>
    <row r="558" spans="1:1">
      <c r="A558" t="s">
        <v>1095</v>
      </c>
    </row>
    <row r="559" spans="1:1">
      <c r="A559" t="s">
        <v>1096</v>
      </c>
    </row>
    <row r="560" spans="1:1">
      <c r="A560" t="s">
        <v>1097</v>
      </c>
    </row>
    <row r="561" spans="1:1">
      <c r="A561" t="s">
        <v>1098</v>
      </c>
    </row>
    <row r="562" spans="1:1">
      <c r="A562" t="s">
        <v>1099</v>
      </c>
    </row>
    <row r="563" spans="1:1">
      <c r="A563" t="s">
        <v>1100</v>
      </c>
    </row>
    <row r="564" spans="1:1">
      <c r="A564" t="s">
        <v>1101</v>
      </c>
    </row>
    <row r="565" spans="1:1">
      <c r="A565" t="s">
        <v>1102</v>
      </c>
    </row>
    <row r="566" spans="1:1">
      <c r="A566" t="s">
        <v>1103</v>
      </c>
    </row>
    <row r="567" spans="1:1">
      <c r="A567" t="s">
        <v>1104</v>
      </c>
    </row>
    <row r="568" spans="1:1">
      <c r="A568" t="s">
        <v>1105</v>
      </c>
    </row>
    <row r="569" spans="1:1">
      <c r="A569" t="s">
        <v>1106</v>
      </c>
    </row>
    <row r="570" spans="1:1">
      <c r="A570" t="s">
        <v>1107</v>
      </c>
    </row>
    <row r="571" spans="1:1">
      <c r="A571" t="s">
        <v>1108</v>
      </c>
    </row>
    <row r="572" spans="1:1">
      <c r="A572" t="s">
        <v>1109</v>
      </c>
    </row>
    <row r="573" spans="1:1">
      <c r="A573" t="s">
        <v>1110</v>
      </c>
    </row>
    <row r="574" spans="1:1">
      <c r="A574" t="s">
        <v>1111</v>
      </c>
    </row>
    <row r="575" spans="1:1">
      <c r="A575" t="s">
        <v>1112</v>
      </c>
    </row>
    <row r="576" spans="1:1">
      <c r="A576" t="s">
        <v>1113</v>
      </c>
    </row>
    <row r="577" spans="1:1">
      <c r="A577" t="s">
        <v>1114</v>
      </c>
    </row>
    <row r="578" spans="1:1">
      <c r="A578" t="s">
        <v>1115</v>
      </c>
    </row>
    <row r="579" spans="1:1">
      <c r="A579" t="s">
        <v>1116</v>
      </c>
    </row>
    <row r="580" spans="1:1">
      <c r="A580" t="s">
        <v>1117</v>
      </c>
    </row>
    <row r="581" spans="1:1">
      <c r="A581" t="s">
        <v>1118</v>
      </c>
    </row>
    <row r="582" spans="1:1">
      <c r="A582" t="s">
        <v>1125</v>
      </c>
    </row>
    <row r="583" spans="1:1">
      <c r="A583" t="s">
        <v>76</v>
      </c>
    </row>
    <row r="584" spans="1:1">
      <c r="A584" t="s">
        <v>736</v>
      </c>
    </row>
    <row r="585" spans="1:1">
      <c r="A585" t="s">
        <v>737</v>
      </c>
    </row>
    <row r="586" spans="1:1">
      <c r="A586" t="s">
        <v>738</v>
      </c>
    </row>
    <row r="587" spans="1:1">
      <c r="A587" t="s">
        <v>739</v>
      </c>
    </row>
    <row r="588" spans="1:1">
      <c r="A588" t="s">
        <v>740</v>
      </c>
    </row>
    <row r="589" spans="1:1">
      <c r="A589" t="s">
        <v>741</v>
      </c>
    </row>
    <row r="590" spans="1:1">
      <c r="A590" t="s">
        <v>742</v>
      </c>
    </row>
    <row r="591" spans="1:1">
      <c r="A591" t="s">
        <v>743</v>
      </c>
    </row>
    <row r="592" spans="1:1">
      <c r="A592" t="s">
        <v>744</v>
      </c>
    </row>
    <row r="593" spans="1:1">
      <c r="A593" t="s">
        <v>745</v>
      </c>
    </row>
    <row r="594" spans="1:1">
      <c r="A594" t="s">
        <v>746</v>
      </c>
    </row>
    <row r="595" spans="1:1">
      <c r="A595" t="s">
        <v>750</v>
      </c>
    </row>
    <row r="596" spans="1:1">
      <c r="A596" t="s">
        <v>753</v>
      </c>
    </row>
    <row r="597" spans="1:1">
      <c r="A597" t="s">
        <v>755</v>
      </c>
    </row>
    <row r="598" spans="1:1">
      <c r="A598" t="s">
        <v>757</v>
      </c>
    </row>
    <row r="599" spans="1:1">
      <c r="A599" t="s">
        <v>759</v>
      </c>
    </row>
    <row r="600" spans="1:1">
      <c r="A600" t="s">
        <v>77</v>
      </c>
    </row>
    <row r="601" spans="1:1">
      <c r="A601" t="s">
        <v>762</v>
      </c>
    </row>
    <row r="602" spans="1:1">
      <c r="A602" t="s">
        <v>47</v>
      </c>
    </row>
    <row r="603" spans="1:1">
      <c r="A603" t="s">
        <v>765</v>
      </c>
    </row>
    <row r="604" spans="1:1">
      <c r="A604" t="s">
        <v>27</v>
      </c>
    </row>
    <row r="605" spans="1:1">
      <c r="A605" t="s">
        <v>28</v>
      </c>
    </row>
    <row r="606" spans="1:1">
      <c r="A606" t="s">
        <v>769</v>
      </c>
    </row>
    <row r="607" spans="1:1">
      <c r="A607" t="s">
        <v>26</v>
      </c>
    </row>
    <row r="608" spans="1:1">
      <c r="A608" t="s">
        <v>29</v>
      </c>
    </row>
    <row r="609" spans="1:1">
      <c r="A609" t="s">
        <v>30</v>
      </c>
    </row>
    <row r="610" spans="1:1">
      <c r="A610" t="s">
        <v>747</v>
      </c>
    </row>
    <row r="611" spans="1:1">
      <c r="A611" t="s">
        <v>136</v>
      </c>
    </row>
    <row r="612" spans="1:1">
      <c r="A612" t="s">
        <v>559</v>
      </c>
    </row>
    <row r="613" spans="1:1">
      <c r="A613" t="s">
        <v>573</v>
      </c>
    </row>
    <row r="614" spans="1:1">
      <c r="A614" t="s">
        <v>748</v>
      </c>
    </row>
    <row r="615" spans="1:1">
      <c r="A615" t="s">
        <v>771</v>
      </c>
    </row>
    <row r="616" spans="1:1">
      <c r="A616" t="s">
        <v>0</v>
      </c>
    </row>
    <row r="617" spans="1:1">
      <c r="A617" t="s">
        <v>1</v>
      </c>
    </row>
    <row r="618" spans="1:1">
      <c r="A618" t="s">
        <v>2</v>
      </c>
    </row>
    <row r="619" spans="1:1">
      <c r="A619" t="s">
        <v>3</v>
      </c>
    </row>
    <row r="620" spans="1:1">
      <c r="A620" t="s">
        <v>4</v>
      </c>
    </row>
    <row r="621" spans="1:1">
      <c r="A621" t="s">
        <v>5</v>
      </c>
    </row>
    <row r="622" spans="1:1">
      <c r="A622" t="s">
        <v>6</v>
      </c>
    </row>
    <row r="623" spans="1:1">
      <c r="A623" t="s">
        <v>7</v>
      </c>
    </row>
    <row r="624" spans="1:1">
      <c r="A624" t="s">
        <v>8</v>
      </c>
    </row>
    <row r="625" spans="1:1">
      <c r="A625" t="s">
        <v>9</v>
      </c>
    </row>
    <row r="626" spans="1:1">
      <c r="A626" t="s">
        <v>773</v>
      </c>
    </row>
    <row r="627" spans="1:1">
      <c r="A627" t="s">
        <v>108</v>
      </c>
    </row>
    <row r="628" spans="1:1">
      <c r="A628" t="s">
        <v>90</v>
      </c>
    </row>
    <row r="629" spans="1:1">
      <c r="A629" t="s">
        <v>91</v>
      </c>
    </row>
    <row r="630" spans="1:1">
      <c r="A630" t="s">
        <v>109</v>
      </c>
    </row>
    <row r="631" spans="1:1">
      <c r="A631" t="s">
        <v>92</v>
      </c>
    </row>
    <row r="632" spans="1:1">
      <c r="A632" t="s">
        <v>93</v>
      </c>
    </row>
    <row r="633" spans="1:1">
      <c r="A633" t="s">
        <v>110</v>
      </c>
    </row>
    <row r="634" spans="1:1">
      <c r="A634" t="s">
        <v>94</v>
      </c>
    </row>
    <row r="635" spans="1:1">
      <c r="A635" t="s">
        <v>95</v>
      </c>
    </row>
    <row r="636" spans="1:1">
      <c r="A636" t="s">
        <v>775</v>
      </c>
    </row>
    <row r="637" spans="1:1">
      <c r="A637" t="s">
        <v>96</v>
      </c>
    </row>
    <row r="638" spans="1:1">
      <c r="A638" t="s">
        <v>97</v>
      </c>
    </row>
    <row r="639" spans="1:1">
      <c r="A639" t="s">
        <v>98</v>
      </c>
    </row>
    <row r="640" spans="1:1">
      <c r="A640" t="s">
        <v>99</v>
      </c>
    </row>
    <row r="641" spans="1:1">
      <c r="A641" t="s">
        <v>100</v>
      </c>
    </row>
    <row r="642" spans="1:1">
      <c r="A642" t="s">
        <v>101</v>
      </c>
    </row>
    <row r="643" spans="1:1">
      <c r="A643" t="s">
        <v>102</v>
      </c>
    </row>
    <row r="644" spans="1:1">
      <c r="A644" t="s">
        <v>103</v>
      </c>
    </row>
    <row r="645" spans="1:1">
      <c r="A645" t="s">
        <v>104</v>
      </c>
    </row>
    <row r="646" spans="1:1">
      <c r="A646" t="s">
        <v>137</v>
      </c>
    </row>
    <row r="647" spans="1:1">
      <c r="A647" t="s">
        <v>299</v>
      </c>
    </row>
    <row r="648" spans="1:1">
      <c r="A648" t="s">
        <v>300</v>
      </c>
    </row>
    <row r="649" spans="1:1">
      <c r="A649" t="s">
        <v>301</v>
      </c>
    </row>
    <row r="650" spans="1:1">
      <c r="A650" t="s">
        <v>302</v>
      </c>
    </row>
    <row r="651" spans="1:1">
      <c r="A651" t="s">
        <v>303</v>
      </c>
    </row>
    <row r="652" spans="1:1">
      <c r="A652" t="s">
        <v>304</v>
      </c>
    </row>
    <row r="653" spans="1:1">
      <c r="A653" t="s">
        <v>305</v>
      </c>
    </row>
    <row r="654" spans="1:1">
      <c r="A654" t="s">
        <v>306</v>
      </c>
    </row>
    <row r="655" spans="1:1">
      <c r="A655" t="s">
        <v>307</v>
      </c>
    </row>
    <row r="656" spans="1:1">
      <c r="A656" t="s">
        <v>308</v>
      </c>
    </row>
    <row r="657" spans="1:1">
      <c r="A657" t="s">
        <v>309</v>
      </c>
    </row>
    <row r="658" spans="1:1">
      <c r="A658" t="s">
        <v>310</v>
      </c>
    </row>
    <row r="659" spans="1:1">
      <c r="A659" t="s">
        <v>311</v>
      </c>
    </row>
    <row r="660" spans="1:1">
      <c r="A660" t="s">
        <v>312</v>
      </c>
    </row>
    <row r="661" spans="1:1">
      <c r="A661" t="s">
        <v>313</v>
      </c>
    </row>
    <row r="662" spans="1:1">
      <c r="A662" t="s">
        <v>314</v>
      </c>
    </row>
    <row r="663" spans="1:1">
      <c r="A663" t="s">
        <v>315</v>
      </c>
    </row>
    <row r="664" spans="1:1">
      <c r="A664" t="s">
        <v>316</v>
      </c>
    </row>
    <row r="665" spans="1:1">
      <c r="A665" t="s">
        <v>317</v>
      </c>
    </row>
    <row r="666" spans="1:1">
      <c r="A666" t="s">
        <v>318</v>
      </c>
    </row>
    <row r="667" spans="1:1">
      <c r="A667" t="s">
        <v>319</v>
      </c>
    </row>
    <row r="668" spans="1:1">
      <c r="A668" t="s">
        <v>320</v>
      </c>
    </row>
    <row r="669" spans="1:1">
      <c r="A669" t="s">
        <v>321</v>
      </c>
    </row>
    <row r="670" spans="1:1">
      <c r="A670" t="s">
        <v>322</v>
      </c>
    </row>
    <row r="671" spans="1:1">
      <c r="A671" t="s">
        <v>323</v>
      </c>
    </row>
    <row r="672" spans="1:1">
      <c r="A672" t="s">
        <v>324</v>
      </c>
    </row>
    <row r="673" spans="1:1">
      <c r="A673" t="s">
        <v>325</v>
      </c>
    </row>
    <row r="674" spans="1:1">
      <c r="A674" t="s">
        <v>326</v>
      </c>
    </row>
    <row r="675" spans="1:1">
      <c r="A675" t="s">
        <v>327</v>
      </c>
    </row>
    <row r="676" spans="1:1">
      <c r="A676" t="s">
        <v>328</v>
      </c>
    </row>
    <row r="677" spans="1:1">
      <c r="A677" t="s">
        <v>329</v>
      </c>
    </row>
    <row r="678" spans="1:1">
      <c r="A678" t="s">
        <v>330</v>
      </c>
    </row>
    <row r="679" spans="1:1">
      <c r="A679" t="s">
        <v>331</v>
      </c>
    </row>
    <row r="680" spans="1:1">
      <c r="A680" t="s">
        <v>332</v>
      </c>
    </row>
    <row r="681" spans="1:1">
      <c r="A681" t="s">
        <v>333</v>
      </c>
    </row>
    <row r="682" spans="1:1">
      <c r="A682" t="s">
        <v>334</v>
      </c>
    </row>
    <row r="683" spans="1:1">
      <c r="A683" t="s">
        <v>335</v>
      </c>
    </row>
    <row r="684" spans="1:1">
      <c r="A684" t="s">
        <v>336</v>
      </c>
    </row>
    <row r="685" spans="1:1">
      <c r="A685" t="s">
        <v>337</v>
      </c>
    </row>
    <row r="686" spans="1:1">
      <c r="A686" t="s">
        <v>338</v>
      </c>
    </row>
    <row r="687" spans="1:1">
      <c r="A687" t="s">
        <v>339</v>
      </c>
    </row>
    <row r="688" spans="1:1">
      <c r="A688" t="s">
        <v>340</v>
      </c>
    </row>
    <row r="689" spans="1:1">
      <c r="A689" t="s">
        <v>341</v>
      </c>
    </row>
    <row r="690" spans="1:1">
      <c r="A690" t="s">
        <v>342</v>
      </c>
    </row>
    <row r="691" spans="1:1">
      <c r="A691" t="s">
        <v>343</v>
      </c>
    </row>
    <row r="692" spans="1:1">
      <c r="A692" t="s">
        <v>345</v>
      </c>
    </row>
    <row r="693" spans="1:1">
      <c r="A693" t="s">
        <v>346</v>
      </c>
    </row>
    <row r="694" spans="1:1">
      <c r="A694" t="s">
        <v>347</v>
      </c>
    </row>
    <row r="695" spans="1:1">
      <c r="A695" t="s">
        <v>348</v>
      </c>
    </row>
    <row r="696" spans="1:1">
      <c r="A696" t="s">
        <v>349</v>
      </c>
    </row>
    <row r="697" spans="1:1">
      <c r="A697" t="s">
        <v>350</v>
      </c>
    </row>
    <row r="698" spans="1:1">
      <c r="A698" t="s">
        <v>351</v>
      </c>
    </row>
    <row r="699" spans="1:1">
      <c r="A699" t="s">
        <v>352</v>
      </c>
    </row>
    <row r="700" spans="1:1">
      <c r="A700" t="s">
        <v>353</v>
      </c>
    </row>
    <row r="701" spans="1:1">
      <c r="A701" t="s">
        <v>354</v>
      </c>
    </row>
    <row r="702" spans="1:1">
      <c r="A702" t="s">
        <v>355</v>
      </c>
    </row>
    <row r="703" spans="1:1">
      <c r="A703" t="s">
        <v>356</v>
      </c>
    </row>
    <row r="704" spans="1:1">
      <c r="A704" t="s">
        <v>357</v>
      </c>
    </row>
    <row r="705" spans="1:1">
      <c r="A705" t="s">
        <v>358</v>
      </c>
    </row>
    <row r="706" spans="1:1">
      <c r="A706" t="s">
        <v>359</v>
      </c>
    </row>
    <row r="707" spans="1:1">
      <c r="A707" t="s">
        <v>360</v>
      </c>
    </row>
    <row r="708" spans="1:1">
      <c r="A708" t="s">
        <v>361</v>
      </c>
    </row>
    <row r="709" spans="1:1">
      <c r="A709" t="s">
        <v>362</v>
      </c>
    </row>
    <row r="710" spans="1:1">
      <c r="A710" t="s">
        <v>363</v>
      </c>
    </row>
    <row r="711" spans="1:1">
      <c r="A711" t="s">
        <v>364</v>
      </c>
    </row>
    <row r="712" spans="1:1">
      <c r="A712" t="s">
        <v>365</v>
      </c>
    </row>
    <row r="713" spans="1:1">
      <c r="A713" t="s">
        <v>366</v>
      </c>
    </row>
    <row r="714" spans="1:1">
      <c r="A714" t="s">
        <v>367</v>
      </c>
    </row>
    <row r="715" spans="1:1">
      <c r="A715" t="s">
        <v>368</v>
      </c>
    </row>
    <row r="716" spans="1:1">
      <c r="A716" t="s">
        <v>369</v>
      </c>
    </row>
    <row r="717" spans="1:1">
      <c r="A717" t="s">
        <v>370</v>
      </c>
    </row>
    <row r="718" spans="1:1">
      <c r="A718" t="s">
        <v>371</v>
      </c>
    </row>
    <row r="719" spans="1:1">
      <c r="A719" t="s">
        <v>372</v>
      </c>
    </row>
    <row r="720" spans="1:1">
      <c r="A720" t="s">
        <v>373</v>
      </c>
    </row>
    <row r="721" spans="1:1">
      <c r="A721" t="s">
        <v>374</v>
      </c>
    </row>
    <row r="722" spans="1:1">
      <c r="A722" t="s">
        <v>375</v>
      </c>
    </row>
    <row r="723" spans="1:1">
      <c r="A723" t="s">
        <v>376</v>
      </c>
    </row>
    <row r="724" spans="1:1">
      <c r="A724" t="s">
        <v>377</v>
      </c>
    </row>
    <row r="725" spans="1:1">
      <c r="A725" t="s">
        <v>378</v>
      </c>
    </row>
    <row r="726" spans="1:1">
      <c r="A726" t="s">
        <v>380</v>
      </c>
    </row>
    <row r="727" spans="1:1">
      <c r="A727" t="s">
        <v>381</v>
      </c>
    </row>
    <row r="728" spans="1:1">
      <c r="A728" t="s">
        <v>382</v>
      </c>
    </row>
    <row r="729" spans="1:1">
      <c r="A729" t="s">
        <v>383</v>
      </c>
    </row>
    <row r="730" spans="1:1">
      <c r="A730" t="s">
        <v>384</v>
      </c>
    </row>
    <row r="731" spans="1:1">
      <c r="A731" t="s">
        <v>385</v>
      </c>
    </row>
    <row r="732" spans="1:1">
      <c r="A732" t="s">
        <v>386</v>
      </c>
    </row>
    <row r="733" spans="1:1">
      <c r="A733" t="s">
        <v>387</v>
      </c>
    </row>
    <row r="734" spans="1:1">
      <c r="A734" t="s">
        <v>388</v>
      </c>
    </row>
    <row r="735" spans="1:1">
      <c r="A735" t="s">
        <v>389</v>
      </c>
    </row>
    <row r="736" spans="1:1">
      <c r="A736" t="s">
        <v>390</v>
      </c>
    </row>
    <row r="737" spans="1:1">
      <c r="A737" t="s">
        <v>391</v>
      </c>
    </row>
    <row r="738" spans="1:1">
      <c r="A738" t="s">
        <v>392</v>
      </c>
    </row>
    <row r="739" spans="1:1">
      <c r="A739" t="s">
        <v>393</v>
      </c>
    </row>
    <row r="740" spans="1:1">
      <c r="A740" t="s">
        <v>394</v>
      </c>
    </row>
    <row r="741" spans="1:1">
      <c r="A741" t="s">
        <v>395</v>
      </c>
    </row>
    <row r="742" spans="1:1">
      <c r="A742" t="s">
        <v>396</v>
      </c>
    </row>
    <row r="743" spans="1:1">
      <c r="A743" t="s">
        <v>397</v>
      </c>
    </row>
    <row r="744" spans="1:1">
      <c r="A744" t="s">
        <v>398</v>
      </c>
    </row>
    <row r="745" spans="1:1">
      <c r="A745" t="s">
        <v>399</v>
      </c>
    </row>
    <row r="746" spans="1:1">
      <c r="A746" t="s">
        <v>400</v>
      </c>
    </row>
    <row r="747" spans="1:1">
      <c r="A747" t="s">
        <v>401</v>
      </c>
    </row>
    <row r="748" spans="1:1">
      <c r="A748" t="s">
        <v>402</v>
      </c>
    </row>
    <row r="749" spans="1:1">
      <c r="A749" t="s">
        <v>403</v>
      </c>
    </row>
    <row r="750" spans="1:1">
      <c r="A750" t="s">
        <v>404</v>
      </c>
    </row>
    <row r="751" spans="1:1">
      <c r="A751" t="s">
        <v>405</v>
      </c>
    </row>
    <row r="752" spans="1:1">
      <c r="A752" t="s">
        <v>407</v>
      </c>
    </row>
    <row r="753" spans="1:1">
      <c r="A753" t="s">
        <v>408</v>
      </c>
    </row>
    <row r="754" spans="1:1">
      <c r="A754" t="s">
        <v>409</v>
      </c>
    </row>
    <row r="755" spans="1:1">
      <c r="A755" t="s">
        <v>410</v>
      </c>
    </row>
    <row r="756" spans="1:1">
      <c r="A756" t="s">
        <v>411</v>
      </c>
    </row>
    <row r="757" spans="1:1">
      <c r="A757" t="s">
        <v>412</v>
      </c>
    </row>
    <row r="758" spans="1:1">
      <c r="A758" t="s">
        <v>413</v>
      </c>
    </row>
    <row r="759" spans="1:1">
      <c r="A759" t="s">
        <v>414</v>
      </c>
    </row>
    <row r="760" spans="1:1">
      <c r="A760" t="s">
        <v>415</v>
      </c>
    </row>
    <row r="761" spans="1:1">
      <c r="A761" t="s">
        <v>416</v>
      </c>
    </row>
    <row r="762" spans="1:1">
      <c r="A762" t="s">
        <v>417</v>
      </c>
    </row>
    <row r="763" spans="1:1">
      <c r="A763" t="s">
        <v>418</v>
      </c>
    </row>
    <row r="764" spans="1:1">
      <c r="A764" t="s">
        <v>419</v>
      </c>
    </row>
    <row r="765" spans="1:1">
      <c r="A765" t="s">
        <v>420</v>
      </c>
    </row>
    <row r="766" spans="1:1">
      <c r="A766" t="s">
        <v>421</v>
      </c>
    </row>
    <row r="767" spans="1:1">
      <c r="A767" t="s">
        <v>422</v>
      </c>
    </row>
    <row r="768" spans="1:1">
      <c r="A768" t="s">
        <v>423</v>
      </c>
    </row>
    <row r="769" spans="1:1">
      <c r="A769" t="s">
        <v>424</v>
      </c>
    </row>
    <row r="770" spans="1:1">
      <c r="A770" t="s">
        <v>425</v>
      </c>
    </row>
    <row r="771" spans="1:1">
      <c r="A771" t="s">
        <v>426</v>
      </c>
    </row>
    <row r="772" spans="1:1">
      <c r="A772" t="s">
        <v>427</v>
      </c>
    </row>
    <row r="773" spans="1:1">
      <c r="A773" t="s">
        <v>428</v>
      </c>
    </row>
    <row r="774" spans="1:1">
      <c r="A774" t="s">
        <v>429</v>
      </c>
    </row>
    <row r="775" spans="1:1">
      <c r="A775" t="s">
        <v>430</v>
      </c>
    </row>
    <row r="776" spans="1:1">
      <c r="A776" t="s">
        <v>431</v>
      </c>
    </row>
    <row r="777" spans="1:1">
      <c r="A777" t="s">
        <v>432</v>
      </c>
    </row>
    <row r="778" spans="1:1">
      <c r="A778" t="s">
        <v>433</v>
      </c>
    </row>
    <row r="779" spans="1:1">
      <c r="A779" t="s">
        <v>434</v>
      </c>
    </row>
    <row r="780" spans="1:1">
      <c r="A780" t="s">
        <v>435</v>
      </c>
    </row>
    <row r="781" spans="1:1">
      <c r="A781" t="s">
        <v>436</v>
      </c>
    </row>
    <row r="782" spans="1:1">
      <c r="A782" t="s">
        <v>437</v>
      </c>
    </row>
    <row r="783" spans="1:1">
      <c r="A783" t="s">
        <v>438</v>
      </c>
    </row>
    <row r="784" spans="1:1">
      <c r="A784" t="s">
        <v>439</v>
      </c>
    </row>
    <row r="785" spans="1:1">
      <c r="A785" t="s">
        <v>440</v>
      </c>
    </row>
    <row r="786" spans="1:1">
      <c r="A786" t="s">
        <v>441</v>
      </c>
    </row>
    <row r="787" spans="1:1">
      <c r="A787" t="s">
        <v>443</v>
      </c>
    </row>
    <row r="788" spans="1:1">
      <c r="A788" t="s">
        <v>444</v>
      </c>
    </row>
    <row r="789" spans="1:1">
      <c r="A789" t="s">
        <v>445</v>
      </c>
    </row>
    <row r="790" spans="1:1">
      <c r="A790" t="s">
        <v>446</v>
      </c>
    </row>
    <row r="791" spans="1:1">
      <c r="A791" t="s">
        <v>447</v>
      </c>
    </row>
    <row r="792" spans="1:1">
      <c r="A792" t="s">
        <v>448</v>
      </c>
    </row>
    <row r="793" spans="1:1">
      <c r="A793" t="s">
        <v>449</v>
      </c>
    </row>
    <row r="794" spans="1:1">
      <c r="A794" t="s">
        <v>450</v>
      </c>
    </row>
    <row r="795" spans="1:1">
      <c r="A795" t="s">
        <v>451</v>
      </c>
    </row>
    <row r="796" spans="1:1">
      <c r="A796" t="s">
        <v>452</v>
      </c>
    </row>
    <row r="797" spans="1:1">
      <c r="A797" t="s">
        <v>453</v>
      </c>
    </row>
    <row r="798" spans="1:1">
      <c r="A798" t="s">
        <v>454</v>
      </c>
    </row>
    <row r="799" spans="1:1">
      <c r="A799" t="s">
        <v>455</v>
      </c>
    </row>
    <row r="800" spans="1:1">
      <c r="A800" t="s">
        <v>456</v>
      </c>
    </row>
    <row r="801" spans="1:1">
      <c r="A801" t="s">
        <v>457</v>
      </c>
    </row>
    <row r="802" spans="1:1">
      <c r="A802" t="s">
        <v>458</v>
      </c>
    </row>
    <row r="803" spans="1:1">
      <c r="A803" t="s">
        <v>459</v>
      </c>
    </row>
    <row r="804" spans="1:1">
      <c r="A804" t="s">
        <v>460</v>
      </c>
    </row>
    <row r="805" spans="1:1">
      <c r="A805" t="s">
        <v>461</v>
      </c>
    </row>
    <row r="806" spans="1:1">
      <c r="A806" t="s">
        <v>462</v>
      </c>
    </row>
    <row r="807" spans="1:1">
      <c r="A807" t="s">
        <v>463</v>
      </c>
    </row>
    <row r="808" spans="1:1">
      <c r="A808" t="s">
        <v>464</v>
      </c>
    </row>
    <row r="809" spans="1:1">
      <c r="A809" t="s">
        <v>465</v>
      </c>
    </row>
    <row r="810" spans="1:1">
      <c r="A810" t="s">
        <v>466</v>
      </c>
    </row>
    <row r="811" spans="1:1">
      <c r="A811" t="s">
        <v>467</v>
      </c>
    </row>
    <row r="812" spans="1:1">
      <c r="A812" t="s">
        <v>468</v>
      </c>
    </row>
    <row r="813" spans="1:1">
      <c r="A813" t="s">
        <v>469</v>
      </c>
    </row>
    <row r="814" spans="1:1">
      <c r="A814" t="s">
        <v>470</v>
      </c>
    </row>
    <row r="815" spans="1:1">
      <c r="A815" t="s">
        <v>471</v>
      </c>
    </row>
    <row r="816" spans="1:1">
      <c r="A816" t="s">
        <v>472</v>
      </c>
    </row>
    <row r="817" spans="1:1">
      <c r="A817" t="s">
        <v>473</v>
      </c>
    </row>
    <row r="818" spans="1:1">
      <c r="A818" t="s">
        <v>474</v>
      </c>
    </row>
    <row r="819" spans="1:1">
      <c r="A819" t="s">
        <v>475</v>
      </c>
    </row>
    <row r="820" spans="1:1">
      <c r="A820" t="s">
        <v>476</v>
      </c>
    </row>
    <row r="821" spans="1:1">
      <c r="A821" t="s">
        <v>477</v>
      </c>
    </row>
    <row r="822" spans="1:1">
      <c r="A822" t="s">
        <v>478</v>
      </c>
    </row>
    <row r="823" spans="1:1">
      <c r="A823" t="s">
        <v>479</v>
      </c>
    </row>
    <row r="824" spans="1:1">
      <c r="A824" t="s">
        <v>480</v>
      </c>
    </row>
    <row r="825" spans="1:1">
      <c r="A825" t="s">
        <v>481</v>
      </c>
    </row>
    <row r="826" spans="1:1">
      <c r="A826" t="s">
        <v>482</v>
      </c>
    </row>
    <row r="827" spans="1:1">
      <c r="A827" t="s">
        <v>483</v>
      </c>
    </row>
    <row r="828" spans="1:1">
      <c r="A828" t="s">
        <v>484</v>
      </c>
    </row>
    <row r="829" spans="1:1">
      <c r="A829" t="s">
        <v>485</v>
      </c>
    </row>
    <row r="830" spans="1:1">
      <c r="A830" t="s">
        <v>486</v>
      </c>
    </row>
    <row r="831" spans="1:1">
      <c r="A831" t="s">
        <v>487</v>
      </c>
    </row>
    <row r="832" spans="1:1">
      <c r="A832" t="s">
        <v>488</v>
      </c>
    </row>
    <row r="833" spans="1:1">
      <c r="A833" t="s">
        <v>489</v>
      </c>
    </row>
    <row r="834" spans="1:1">
      <c r="A834" t="s">
        <v>490</v>
      </c>
    </row>
    <row r="835" spans="1:1">
      <c r="A835" t="s">
        <v>491</v>
      </c>
    </row>
    <row r="836" spans="1:1">
      <c r="A836" t="s">
        <v>492</v>
      </c>
    </row>
    <row r="837" spans="1:1">
      <c r="A837" t="s">
        <v>493</v>
      </c>
    </row>
    <row r="838" spans="1:1">
      <c r="A838" t="s">
        <v>494</v>
      </c>
    </row>
    <row r="839" spans="1:1">
      <c r="A839" t="s">
        <v>495</v>
      </c>
    </row>
    <row r="840" spans="1:1">
      <c r="A840" t="s">
        <v>496</v>
      </c>
    </row>
    <row r="841" spans="1:1">
      <c r="A841" t="s">
        <v>497</v>
      </c>
    </row>
    <row r="842" spans="1:1">
      <c r="A842" t="s">
        <v>498</v>
      </c>
    </row>
    <row r="843" spans="1:1">
      <c r="A843" t="s">
        <v>499</v>
      </c>
    </row>
    <row r="844" spans="1:1">
      <c r="A844" t="s">
        <v>500</v>
      </c>
    </row>
    <row r="845" spans="1:1">
      <c r="A845" t="s">
        <v>501</v>
      </c>
    </row>
    <row r="846" spans="1:1">
      <c r="A846" t="s">
        <v>502</v>
      </c>
    </row>
    <row r="847" spans="1:1">
      <c r="A847" t="s">
        <v>503</v>
      </c>
    </row>
    <row r="848" spans="1:1">
      <c r="A848" t="s">
        <v>504</v>
      </c>
    </row>
    <row r="849" spans="1:1">
      <c r="A849" t="s">
        <v>505</v>
      </c>
    </row>
    <row r="850" spans="1:1">
      <c r="A850" t="s">
        <v>506</v>
      </c>
    </row>
    <row r="851" spans="1:1">
      <c r="A851" t="s">
        <v>507</v>
      </c>
    </row>
    <row r="852" spans="1:1">
      <c r="A852" t="s">
        <v>508</v>
      </c>
    </row>
    <row r="853" spans="1:1">
      <c r="A853" t="s">
        <v>509</v>
      </c>
    </row>
    <row r="854" spans="1:1">
      <c r="A854" t="s">
        <v>510</v>
      </c>
    </row>
    <row r="855" spans="1:1">
      <c r="A855" t="s">
        <v>511</v>
      </c>
    </row>
    <row r="856" spans="1:1">
      <c r="A856" t="s">
        <v>512</v>
      </c>
    </row>
    <row r="857" spans="1:1">
      <c r="A857" t="s">
        <v>513</v>
      </c>
    </row>
    <row r="858" spans="1:1">
      <c r="A858" t="s">
        <v>514</v>
      </c>
    </row>
    <row r="859" spans="1:1">
      <c r="A859" t="s">
        <v>515</v>
      </c>
    </row>
    <row r="860" spans="1:1">
      <c r="A860" t="s">
        <v>516</v>
      </c>
    </row>
    <row r="861" spans="1:1">
      <c r="A861" t="s">
        <v>517</v>
      </c>
    </row>
    <row r="862" spans="1:1">
      <c r="A862" t="s">
        <v>518</v>
      </c>
    </row>
    <row r="863" spans="1:1">
      <c r="A863" t="s">
        <v>519</v>
      </c>
    </row>
    <row r="864" spans="1:1">
      <c r="A864" t="s">
        <v>520</v>
      </c>
    </row>
    <row r="865" spans="1:1">
      <c r="A865" t="s">
        <v>521</v>
      </c>
    </row>
    <row r="866" spans="1:1">
      <c r="A866" t="s">
        <v>522</v>
      </c>
    </row>
    <row r="867" spans="1:1">
      <c r="A867" t="s">
        <v>523</v>
      </c>
    </row>
    <row r="868" spans="1:1">
      <c r="A868" t="s">
        <v>524</v>
      </c>
    </row>
    <row r="869" spans="1:1">
      <c r="A869" t="s">
        <v>525</v>
      </c>
    </row>
    <row r="870" spans="1:1">
      <c r="A870" t="s">
        <v>526</v>
      </c>
    </row>
    <row r="871" spans="1:1">
      <c r="A871" t="s">
        <v>527</v>
      </c>
    </row>
    <row r="872" spans="1:1">
      <c r="A872" t="s">
        <v>528</v>
      </c>
    </row>
    <row r="873" spans="1:1">
      <c r="A873" t="s">
        <v>529</v>
      </c>
    </row>
    <row r="874" spans="1:1">
      <c r="A874" t="s">
        <v>530</v>
      </c>
    </row>
    <row r="875" spans="1:1">
      <c r="A875" t="s">
        <v>531</v>
      </c>
    </row>
    <row r="876" spans="1:1">
      <c r="A876" t="s">
        <v>532</v>
      </c>
    </row>
    <row r="877" spans="1:1">
      <c r="A877" t="s">
        <v>533</v>
      </c>
    </row>
    <row r="878" spans="1:1">
      <c r="A878" t="s">
        <v>534</v>
      </c>
    </row>
    <row r="879" spans="1:1">
      <c r="A879" t="s">
        <v>535</v>
      </c>
    </row>
    <row r="880" spans="1:1">
      <c r="A880" t="s">
        <v>536</v>
      </c>
    </row>
    <row r="881" spans="1:1">
      <c r="A881" t="s">
        <v>537</v>
      </c>
    </row>
    <row r="882" spans="1:1">
      <c r="A882" t="s">
        <v>538</v>
      </c>
    </row>
    <row r="883" spans="1:1">
      <c r="A883" t="s">
        <v>539</v>
      </c>
    </row>
    <row r="884" spans="1:1">
      <c r="A884" t="s">
        <v>540</v>
      </c>
    </row>
    <row r="885" spans="1:1">
      <c r="A885" t="s">
        <v>541</v>
      </c>
    </row>
    <row r="886" spans="1:1">
      <c r="A886" t="s">
        <v>542</v>
      </c>
    </row>
    <row r="887" spans="1:1">
      <c r="A887" t="s">
        <v>543</v>
      </c>
    </row>
    <row r="888" spans="1:1">
      <c r="A888" t="s">
        <v>544</v>
      </c>
    </row>
    <row r="889" spans="1:1">
      <c r="A889" t="s">
        <v>545</v>
      </c>
    </row>
    <row r="890" spans="1:1">
      <c r="A890" t="s">
        <v>546</v>
      </c>
    </row>
    <row r="891" spans="1:1">
      <c r="A891" t="s">
        <v>547</v>
      </c>
    </row>
    <row r="892" spans="1:1">
      <c r="A892" t="s">
        <v>548</v>
      </c>
    </row>
    <row r="893" spans="1:1">
      <c r="A893" t="s">
        <v>549</v>
      </c>
    </row>
    <row r="894" spans="1:1">
      <c r="A894" t="s">
        <v>550</v>
      </c>
    </row>
    <row r="895" spans="1:1">
      <c r="A895" t="s">
        <v>551</v>
      </c>
    </row>
    <row r="896" spans="1:1">
      <c r="A896" t="s">
        <v>552</v>
      </c>
    </row>
    <row r="897" spans="1:1">
      <c r="A897" t="s">
        <v>553</v>
      </c>
    </row>
    <row r="898" spans="1:1">
      <c r="A898" t="s">
        <v>554</v>
      </c>
    </row>
    <row r="899" spans="1:1">
      <c r="A899" t="s">
        <v>555</v>
      </c>
    </row>
    <row r="900" spans="1:1">
      <c r="A900" t="s">
        <v>556</v>
      </c>
    </row>
    <row r="901" spans="1:1">
      <c r="A901" t="s">
        <v>557</v>
      </c>
    </row>
    <row r="902" spans="1:1">
      <c r="A902" t="s">
        <v>558</v>
      </c>
    </row>
    <row r="903" spans="1:1">
      <c r="A903" t="s">
        <v>574</v>
      </c>
    </row>
    <row r="904" spans="1:1">
      <c r="A904" t="s">
        <v>575</v>
      </c>
    </row>
    <row r="905" spans="1:1">
      <c r="A905" t="s">
        <v>576</v>
      </c>
    </row>
    <row r="906" spans="1:1">
      <c r="A906" t="s">
        <v>577</v>
      </c>
    </row>
    <row r="907" spans="1:1">
      <c r="A907" t="s">
        <v>560</v>
      </c>
    </row>
    <row r="908" spans="1:1">
      <c r="A908" t="s">
        <v>561</v>
      </c>
    </row>
    <row r="909" spans="1:1">
      <c r="A909" t="s">
        <v>562</v>
      </c>
    </row>
    <row r="910" spans="1:1">
      <c r="A910" t="s">
        <v>563</v>
      </c>
    </row>
    <row r="911" spans="1:1">
      <c r="A911" t="s">
        <v>564</v>
      </c>
    </row>
    <row r="912" spans="1:1">
      <c r="A912" t="s">
        <v>565</v>
      </c>
    </row>
    <row r="913" spans="1:1">
      <c r="A913" t="s">
        <v>566</v>
      </c>
    </row>
    <row r="914" spans="1:1">
      <c r="A914" t="s">
        <v>567</v>
      </c>
    </row>
    <row r="915" spans="1:1">
      <c r="A915" t="s">
        <v>568</v>
      </c>
    </row>
    <row r="916" spans="1:1">
      <c r="A916" t="s">
        <v>569</v>
      </c>
    </row>
    <row r="917" spans="1:1">
      <c r="A917" t="s">
        <v>570</v>
      </c>
    </row>
    <row r="918" spans="1:1">
      <c r="A918" t="s">
        <v>571</v>
      </c>
    </row>
    <row r="919" spans="1:1">
      <c r="A919" t="s">
        <v>572</v>
      </c>
    </row>
    <row r="920" spans="1:1">
      <c r="A920" t="s">
        <v>749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56</vt:i4>
      </vt:variant>
    </vt:vector>
  </HeadingPairs>
  <TitlesOfParts>
    <vt:vector size="61" baseType="lpstr">
      <vt:lpstr>概要</vt:lpstr>
      <vt:lpstr>ID一覧</vt:lpstr>
      <vt:lpstr>定義編集</vt:lpstr>
      <vt:lpstr>定義一覧</vt:lpstr>
      <vt:lpstr>自動取得</vt:lpstr>
      <vt:lpstr>AllCommonSub1リスト</vt:lpstr>
      <vt:lpstr>AllCommonSub2リスト</vt:lpstr>
      <vt:lpstr>AllMessageSub1リスト</vt:lpstr>
      <vt:lpstr>AllMessageSub2リスト</vt:lpstr>
      <vt:lpstr>AllNoneSub1リスト</vt:lpstr>
      <vt:lpstr>AllNoneSub2リスト</vt:lpstr>
      <vt:lpstr>DummyCommonSub1リスト</vt:lpstr>
      <vt:lpstr>DummyCommonSub2リスト</vt:lpstr>
      <vt:lpstr>DummyMessageSub1リスト</vt:lpstr>
      <vt:lpstr>DummyMessageSub2リスト</vt:lpstr>
      <vt:lpstr>DummyNoneSub1リスト</vt:lpstr>
      <vt:lpstr>DummyNoneSub2リスト</vt:lpstr>
      <vt:lpstr>FactCommonSub1リスト</vt:lpstr>
      <vt:lpstr>FactCommonSub2リスト</vt:lpstr>
      <vt:lpstr>FactMessageSub1リスト</vt:lpstr>
      <vt:lpstr>FactMessageSub2リスト</vt:lpstr>
      <vt:lpstr>FactNoneSub1リスト</vt:lpstr>
      <vt:lpstr>FactNoneSub2リスト</vt:lpstr>
      <vt:lpstr>HomeCommonSub1リスト</vt:lpstr>
      <vt:lpstr>HomeCommonSub2リスト</vt:lpstr>
      <vt:lpstr>HomeMessageSub1リスト</vt:lpstr>
      <vt:lpstr>HomeMessageSub2リスト</vt:lpstr>
      <vt:lpstr>HomeNoneSub1リスト</vt:lpstr>
      <vt:lpstr>HomeNoneSub2リスト</vt:lpstr>
      <vt:lpstr>Mainリスト</vt:lpstr>
      <vt:lpstr>MenuCommonSub1リスト</vt:lpstr>
      <vt:lpstr>MenuCommonSub2リスト</vt:lpstr>
      <vt:lpstr>MenuMessageSub1リスト</vt:lpstr>
      <vt:lpstr>MenuMessageSub2リスト</vt:lpstr>
      <vt:lpstr>MenuNoneSub1リスト</vt:lpstr>
      <vt:lpstr>MenuNoneSub2リスト</vt:lpstr>
      <vt:lpstr>OtherCommonSub1リスト</vt:lpstr>
      <vt:lpstr>OtherCommonSub2リスト</vt:lpstr>
      <vt:lpstr>OtherMessageSub1リスト</vt:lpstr>
      <vt:lpstr>OtherMessageSub2リスト</vt:lpstr>
      <vt:lpstr>OtherNoneSub1リスト</vt:lpstr>
      <vt:lpstr>OtherNoneSub2リスト</vt:lpstr>
      <vt:lpstr>PlayCommonSub1リスト</vt:lpstr>
      <vt:lpstr>PlayCommonSub2リスト</vt:lpstr>
      <vt:lpstr>PlayMessageSub1リスト</vt:lpstr>
      <vt:lpstr>PlayMessageSub2リスト</vt:lpstr>
      <vt:lpstr>PlayNoneSub1リスト</vt:lpstr>
      <vt:lpstr>PlayNoneSub2リスト</vt:lpstr>
      <vt:lpstr>RecCommonSub1リスト</vt:lpstr>
      <vt:lpstr>RecCommonSub2リスト</vt:lpstr>
      <vt:lpstr>RecMessageSub1リスト</vt:lpstr>
      <vt:lpstr>RecMessageSub2リスト</vt:lpstr>
      <vt:lpstr>RecNoneSub1リスト</vt:lpstr>
      <vt:lpstr>RecNoneSub2リスト</vt:lpstr>
      <vt:lpstr>Typeリスト</vt:lpstr>
      <vt:lpstr>WorkCommonSub1リスト</vt:lpstr>
      <vt:lpstr>WorkCommonSub2リスト</vt:lpstr>
      <vt:lpstr>WorkMessageSub1リスト</vt:lpstr>
      <vt:lpstr>WorkMessageSub2リスト</vt:lpstr>
      <vt:lpstr>WorkNoneSub1リスト</vt:lpstr>
      <vt:lpstr>WorkNoneSub2リスト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 勇貴</dc:creator>
  <cp:lastModifiedBy>中村 勇貴</cp:lastModifiedBy>
  <dcterms:created xsi:type="dcterms:W3CDTF">2018-04-16T02:31:54Z</dcterms:created>
  <dcterms:modified xsi:type="dcterms:W3CDTF">2019-01-23T02:34:11Z</dcterms:modified>
</cp:coreProperties>
</file>