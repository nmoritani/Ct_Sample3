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55" yWindow="525" windowWidth="23430" windowHeight="7230" tabRatio="873"/>
  </bookViews>
  <sheets>
    <sheet name="Sheet1" sheetId="39" r:id="rId1"/>
    <sheet name="Language_Set" sheetId="4" r:id="rId2"/>
    <sheet name="Parameter" sheetId="40" r:id="rId3"/>
  </sheets>
  <functionGroups builtInGroupCount="17"/>
  <externalReferences>
    <externalReference r:id="rId4"/>
  </externalReferences>
  <definedNames>
    <definedName name="_xlnm._FilterDatabase" localSheetId="1" hidden="1">Language_Set!$A$1:$G$1</definedName>
    <definedName name="Model_StringC_F">[1]設定シート!#REF!</definedName>
    <definedName name="POS_ALL">#REF!</definedName>
    <definedName name="POS_FIN">#REF!</definedName>
    <definedName name="POS_INIT">#REF!</definedName>
    <definedName name="POS_ISO">#REF!</definedName>
    <definedName name="POS_MED">#REF!</definedName>
  </definedNames>
  <calcPr calcId="145621"/>
</workbook>
</file>

<file path=xl/calcChain.xml><?xml version="1.0" encoding="utf-8"?>
<calcChain xmlns="http://schemas.openxmlformats.org/spreadsheetml/2006/main">
  <c r="C2" i="40" l="1"/>
  <c r="C8" i="40" l="1"/>
  <c r="B8" i="40"/>
  <c r="C7" i="40"/>
  <c r="B7" i="40"/>
  <c r="C6" i="40"/>
  <c r="B6" i="40"/>
  <c r="C5" i="40"/>
  <c r="B5" i="40"/>
  <c r="C4" i="40"/>
  <c r="B4" i="40"/>
  <c r="C3" i="40"/>
  <c r="B3" i="40"/>
  <c r="B2" i="40"/>
</calcChain>
</file>

<file path=xl/sharedStrings.xml><?xml version="1.0" encoding="utf-8"?>
<sst xmlns="http://schemas.openxmlformats.org/spreadsheetml/2006/main" count="146" uniqueCount="132">
  <si>
    <t>Portuguese</t>
    <phoneticPr fontId="1"/>
  </si>
  <si>
    <t>pt</t>
    <phoneticPr fontId="1"/>
  </si>
  <si>
    <t>ポルトガル語</t>
    <rPh sb="5" eb="6">
      <t>ゴ</t>
    </rPh>
    <phoneticPr fontId="1"/>
  </si>
  <si>
    <t>PORTUGUESE</t>
    <phoneticPr fontId="1"/>
  </si>
  <si>
    <t>Ver</t>
    <phoneticPr fontId="1"/>
  </si>
  <si>
    <t>変更内容</t>
    <rPh sb="0" eb="2">
      <t>ヘンコウ</t>
    </rPh>
    <rPh sb="2" eb="4">
      <t>ナイヨウ</t>
    </rPh>
    <phoneticPr fontId="1"/>
  </si>
  <si>
    <t>変更日</t>
    <rPh sb="0" eb="3">
      <t>ヘンコウビ</t>
    </rPh>
    <phoneticPr fontId="1"/>
  </si>
  <si>
    <t>担当</t>
    <rPh sb="0" eb="2">
      <t>タントウ</t>
    </rPh>
    <phoneticPr fontId="1"/>
  </si>
  <si>
    <t>基本機能完了</t>
    <rPh sb="0" eb="2">
      <t>キホン</t>
    </rPh>
    <rPh sb="2" eb="4">
      <t>キノウ</t>
    </rPh>
    <rPh sb="4" eb="6">
      <t>カンリョウ</t>
    </rPh>
    <phoneticPr fontId="1"/>
  </si>
  <si>
    <t>高津</t>
    <rPh sb="0" eb="2">
      <t>コウヅ</t>
    </rPh>
    <phoneticPr fontId="1"/>
  </si>
  <si>
    <t>言語番号</t>
  </si>
  <si>
    <t>言語名</t>
  </si>
  <si>
    <t>工程モード</t>
    <rPh sb="0" eb="2">
      <t>コウテイ</t>
    </rPh>
    <phoneticPr fontId="1"/>
  </si>
  <si>
    <t>言語名StringID</t>
    <rPh sb="0" eb="2">
      <t>ゲンゴ</t>
    </rPh>
    <rPh sb="2" eb="3">
      <t>メイ</t>
    </rPh>
    <phoneticPr fontId="1"/>
  </si>
  <si>
    <t>Japanese</t>
  </si>
  <si>
    <t>JAPANESE</t>
    <phoneticPr fontId="1"/>
  </si>
  <si>
    <t>English</t>
  </si>
  <si>
    <t>German</t>
  </si>
  <si>
    <t>French</t>
  </si>
  <si>
    <t>Italian</t>
  </si>
  <si>
    <t>Spanish</t>
  </si>
  <si>
    <t>Dutch</t>
  </si>
  <si>
    <t>Swedish</t>
  </si>
  <si>
    <t>Polish</t>
  </si>
  <si>
    <t>Czech</t>
  </si>
  <si>
    <t>Thai</t>
  </si>
  <si>
    <t>Hindi</t>
  </si>
  <si>
    <t>S-Chinese</t>
  </si>
  <si>
    <t>T-Chinese</t>
  </si>
  <si>
    <t>Arabic</t>
  </si>
  <si>
    <t>Russian</t>
  </si>
  <si>
    <t>Persian</t>
  </si>
  <si>
    <t>Korean</t>
  </si>
  <si>
    <t>Canada-French</t>
  </si>
  <si>
    <t>USA-English</t>
  </si>
  <si>
    <t>USA-Spanish</t>
  </si>
  <si>
    <t>T-Chinese(NTSC)</t>
  </si>
  <si>
    <t>Turkish</t>
  </si>
  <si>
    <t>J-English</t>
  </si>
  <si>
    <t>Hungarian</t>
  </si>
  <si>
    <t>prefix</t>
    <phoneticPr fontId="1"/>
  </si>
  <si>
    <t>言語名コメント用</t>
    <phoneticPr fontId="1"/>
  </si>
  <si>
    <t>ja</t>
    <phoneticPr fontId="1"/>
  </si>
  <si>
    <t>日本語</t>
    <phoneticPr fontId="1"/>
  </si>
  <si>
    <t>en</t>
    <phoneticPr fontId="1"/>
  </si>
  <si>
    <t>英語 PAL</t>
    <phoneticPr fontId="1"/>
  </si>
  <si>
    <t>ENGLISH</t>
    <phoneticPr fontId="1"/>
  </si>
  <si>
    <t>ge</t>
    <phoneticPr fontId="1"/>
  </si>
  <si>
    <t>ドイツ語</t>
    <phoneticPr fontId="1"/>
  </si>
  <si>
    <t>GERMAN</t>
    <phoneticPr fontId="1"/>
  </si>
  <si>
    <t>fr</t>
    <phoneticPr fontId="1"/>
  </si>
  <si>
    <t>フランス語 PAL</t>
    <phoneticPr fontId="1"/>
  </si>
  <si>
    <t>FRENCH</t>
    <phoneticPr fontId="1"/>
  </si>
  <si>
    <t>it</t>
    <phoneticPr fontId="1"/>
  </si>
  <si>
    <t>イタリア語</t>
    <phoneticPr fontId="1"/>
  </si>
  <si>
    <t>ITALIAN</t>
    <phoneticPr fontId="1"/>
  </si>
  <si>
    <t>sp</t>
    <phoneticPr fontId="1"/>
  </si>
  <si>
    <t>スペイン語 PAL</t>
    <phoneticPr fontId="1"/>
  </si>
  <si>
    <t>SPANISH</t>
    <phoneticPr fontId="1"/>
  </si>
  <si>
    <t>du</t>
    <phoneticPr fontId="1"/>
  </si>
  <si>
    <t>オランダ語</t>
    <phoneticPr fontId="1"/>
  </si>
  <si>
    <t>DUTCH</t>
    <phoneticPr fontId="1"/>
  </si>
  <si>
    <t>sw</t>
    <phoneticPr fontId="1"/>
  </si>
  <si>
    <t>スウェーデン語</t>
    <phoneticPr fontId="1"/>
  </si>
  <si>
    <t>SWEDISH</t>
    <phoneticPr fontId="1"/>
  </si>
  <si>
    <t>po</t>
    <phoneticPr fontId="1"/>
  </si>
  <si>
    <t>ポーランド語</t>
    <phoneticPr fontId="1"/>
  </si>
  <si>
    <t>POLISH</t>
    <phoneticPr fontId="1"/>
  </si>
  <si>
    <t>cz</t>
    <phoneticPr fontId="1"/>
  </si>
  <si>
    <t>チェコ語</t>
    <phoneticPr fontId="1"/>
  </si>
  <si>
    <t>CZECH</t>
    <phoneticPr fontId="1"/>
  </si>
  <si>
    <t>th</t>
    <phoneticPr fontId="1"/>
  </si>
  <si>
    <t>タイ語</t>
    <phoneticPr fontId="1"/>
  </si>
  <si>
    <t>THAI</t>
    <phoneticPr fontId="1"/>
  </si>
  <si>
    <t>hi</t>
    <phoneticPr fontId="1"/>
  </si>
  <si>
    <t>ヒンディ語</t>
    <phoneticPr fontId="1"/>
  </si>
  <si>
    <t>HINDI</t>
    <phoneticPr fontId="1"/>
  </si>
  <si>
    <t>sc</t>
    <phoneticPr fontId="1"/>
  </si>
  <si>
    <t>中国語（簡体）</t>
    <phoneticPr fontId="1"/>
  </si>
  <si>
    <t>CHINESE</t>
    <phoneticPr fontId="1"/>
  </si>
  <si>
    <t>tc</t>
    <phoneticPr fontId="1"/>
  </si>
  <si>
    <t>中国語（繁体） PAL</t>
    <phoneticPr fontId="1"/>
  </si>
  <si>
    <t>ar</t>
    <phoneticPr fontId="1"/>
  </si>
  <si>
    <t>アラビア語</t>
    <phoneticPr fontId="1"/>
  </si>
  <si>
    <t>ARABIC</t>
    <phoneticPr fontId="1"/>
  </si>
  <si>
    <t>ru</t>
    <phoneticPr fontId="1"/>
  </si>
  <si>
    <t>ロシア語</t>
    <phoneticPr fontId="1"/>
  </si>
  <si>
    <t>RUSSIAN</t>
    <phoneticPr fontId="1"/>
  </si>
  <si>
    <t>pe</t>
    <phoneticPr fontId="1"/>
  </si>
  <si>
    <t>ペルシャ語</t>
    <phoneticPr fontId="1"/>
  </si>
  <si>
    <t>PERSIAN</t>
    <phoneticPr fontId="1"/>
  </si>
  <si>
    <t>ko</t>
    <phoneticPr fontId="1"/>
  </si>
  <si>
    <t>韓国語</t>
    <phoneticPr fontId="1"/>
  </si>
  <si>
    <t>KOREAN</t>
    <phoneticPr fontId="1"/>
  </si>
  <si>
    <t>ca</t>
    <phoneticPr fontId="1"/>
  </si>
  <si>
    <t>フランス語 NTSC</t>
    <phoneticPr fontId="1"/>
  </si>
  <si>
    <t>ue</t>
    <phoneticPr fontId="1"/>
  </si>
  <si>
    <t>英語 NTSC</t>
    <phoneticPr fontId="1"/>
  </si>
  <si>
    <t>us</t>
    <phoneticPr fontId="1"/>
  </si>
  <si>
    <t>スペイン語 NTSC</t>
    <phoneticPr fontId="1"/>
  </si>
  <si>
    <t>tw</t>
    <phoneticPr fontId="1"/>
  </si>
  <si>
    <t>中国語（繁体） NTSC</t>
    <phoneticPr fontId="1"/>
  </si>
  <si>
    <t>tu</t>
    <phoneticPr fontId="1"/>
  </si>
  <si>
    <t>トルコ語</t>
    <phoneticPr fontId="1"/>
  </si>
  <si>
    <t>TURKISH</t>
    <phoneticPr fontId="1"/>
  </si>
  <si>
    <t>je</t>
    <phoneticPr fontId="1"/>
  </si>
  <si>
    <t>英語（日本向け) NTSC</t>
    <phoneticPr fontId="1"/>
  </si>
  <si>
    <t>hu</t>
    <phoneticPr fontId="1"/>
  </si>
  <si>
    <t>ハンガリー語</t>
    <phoneticPr fontId="1"/>
  </si>
  <si>
    <t>HUNGARIAN</t>
    <phoneticPr fontId="1"/>
  </si>
  <si>
    <t>font_lang</t>
    <phoneticPr fontId="1"/>
  </si>
  <si>
    <t>1.00</t>
    <phoneticPr fontId="1"/>
  </si>
  <si>
    <t>1.01</t>
    <phoneticPr fontId="1"/>
  </si>
  <si>
    <t>行最大；水色、文字幅最大；黄色、両方最大；緑</t>
    <rPh sb="0" eb="1">
      <t>ギョウ</t>
    </rPh>
    <rPh sb="1" eb="3">
      <t>サイダイ</t>
    </rPh>
    <rPh sb="4" eb="6">
      <t>ミズイロ</t>
    </rPh>
    <rPh sb="7" eb="9">
      <t>モジ</t>
    </rPh>
    <rPh sb="9" eb="10">
      <t>ハバ</t>
    </rPh>
    <rPh sb="10" eb="12">
      <t>サイダイ</t>
    </rPh>
    <rPh sb="13" eb="15">
      <t>キイロ</t>
    </rPh>
    <rPh sb="16" eb="18">
      <t>リョウホウ</t>
    </rPh>
    <rPh sb="18" eb="20">
      <t>サイダイ</t>
    </rPh>
    <rPh sb="21" eb="22">
      <t>ミドリ</t>
    </rPh>
    <phoneticPr fontId="1"/>
  </si>
  <si>
    <t>1.02</t>
    <phoneticPr fontId="1"/>
  </si>
  <si>
    <t>簡体字を48x48に変更</t>
    <rPh sb="0" eb="3">
      <t>カンタイジ</t>
    </rPh>
    <rPh sb="10" eb="12">
      <t>ヘンコウ</t>
    </rPh>
    <phoneticPr fontId="1"/>
  </si>
  <si>
    <t>1.03</t>
    <phoneticPr fontId="1"/>
  </si>
  <si>
    <t>終了メッセージ非表示（vbs対応）
全シート75%ズーム</t>
    <rPh sb="18" eb="19">
      <t>ゼン</t>
    </rPh>
    <phoneticPr fontId="1"/>
  </si>
  <si>
    <t>1.04</t>
    <phoneticPr fontId="1"/>
  </si>
  <si>
    <t>最大色表示を行のみに変更（スケーラブルフォント対応）</t>
    <rPh sb="0" eb="2">
      <t>サイダイ</t>
    </rPh>
    <rPh sb="2" eb="3">
      <t>イロ</t>
    </rPh>
    <rPh sb="3" eb="5">
      <t>ヒョウジ</t>
    </rPh>
    <rPh sb="6" eb="7">
      <t>ギョウ</t>
    </rPh>
    <rPh sb="10" eb="12">
      <t>ヘンコウ</t>
    </rPh>
    <rPh sb="23" eb="25">
      <t>タイオウ</t>
    </rPh>
    <phoneticPr fontId="1"/>
  </si>
  <si>
    <t>2.00</t>
    <phoneticPr fontId="1"/>
  </si>
  <si>
    <t>スケーラブルフォント対応</t>
    <rPh sb="10" eb="12">
      <t>タイオウ</t>
    </rPh>
    <phoneticPr fontId="1"/>
  </si>
  <si>
    <t>2.01</t>
    <phoneticPr fontId="1"/>
  </si>
  <si>
    <t>フォントサイズ可変対応</t>
    <rPh sb="7" eb="9">
      <t>カヘン</t>
    </rPh>
    <rPh sb="9" eb="11">
      <t>タイオウ</t>
    </rPh>
    <phoneticPr fontId="1"/>
  </si>
  <si>
    <t>高さ</t>
    <rPh sb="0" eb="1">
      <t>タカ</t>
    </rPh>
    <phoneticPr fontId="1"/>
  </si>
  <si>
    <t>幅80%</t>
    <rPh sb="0" eb="1">
      <t>ハバ</t>
    </rPh>
    <phoneticPr fontId="1"/>
  </si>
  <si>
    <t>幅20%圧縮</t>
    <rPh sb="0" eb="1">
      <t>ハバ</t>
    </rPh>
    <rPh sb="4" eb="6">
      <t>アッシュク</t>
    </rPh>
    <phoneticPr fontId="1"/>
  </si>
  <si>
    <t>2.02</t>
    <phoneticPr fontId="1"/>
  </si>
  <si>
    <t>フォントサイズ可変対応(Parameter sheet)</t>
    <rPh sb="7" eb="9">
      <t>カヘン</t>
    </rPh>
    <rPh sb="9" eb="11">
      <t>タイオウ</t>
    </rPh>
    <phoneticPr fontId="1"/>
  </si>
  <si>
    <t>←既定</t>
    <rPh sb="1" eb="3">
      <t>キテイ</t>
    </rPh>
    <phoneticPr fontId="1"/>
  </si>
  <si>
    <t>2.03</t>
    <phoneticPr fontId="1"/>
  </si>
  <si>
    <t>翻訳シートでフォントサイズ指定</t>
    <rPh sb="0" eb="2">
      <t>ホンヤク</t>
    </rPh>
    <rPh sb="13" eb="15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</si>
</sst>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45"/>
        <bgColor indexed="64"/>
      </patternFill>
    </fill>
    <fill>
      <patternFill patternType="solid">
        <fgColor rgb="FF00FFFF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4">
    <xf numFmtId="0" fontId="0" fillId="0" borderId="0" xfId="0">
      <alignment vertical="center"/>
    </xf>
    <xf numFmtId="0" fontId="3" fillId="2" borderId="2" xfId="1" applyFont="1" applyFill="1" applyBorder="1" applyAlignment="1">
      <alignment horizontal="center"/>
    </xf>
    <xf numFmtId="0" fontId="3" fillId="0" borderId="1" xfId="1" applyFont="1" applyFill="1" applyBorder="1" applyAlignment="1">
      <alignment horizontal="right" wrapText="1"/>
    </xf>
    <xf numFmtId="0" fontId="3" fillId="0" borderId="1" xfId="1" applyFont="1" applyFill="1" applyBorder="1" applyAlignment="1">
      <alignment wrapText="1"/>
    </xf>
    <xf numFmtId="0" fontId="0" fillId="0" borderId="3" xfId="0" applyBorder="1">
      <alignment vertical="center"/>
    </xf>
    <xf numFmtId="0" fontId="3" fillId="0" borderId="4" xfId="1" applyFont="1" applyFill="1" applyBorder="1" applyAlignment="1">
      <alignment horizontal="right" wrapText="1"/>
    </xf>
    <xf numFmtId="0" fontId="3" fillId="0" borderId="4" xfId="1" applyFont="1" applyFill="1" applyBorder="1" applyAlignment="1">
      <alignment wrapText="1"/>
    </xf>
    <xf numFmtId="49" fontId="0" fillId="3" borderId="3" xfId="0" applyNumberFormat="1" applyFill="1" applyBorder="1">
      <alignment vertical="center"/>
    </xf>
    <xf numFmtId="0" fontId="0" fillId="3" borderId="3" xfId="0" applyFill="1" applyBorder="1">
      <alignment vertical="center"/>
    </xf>
    <xf numFmtId="49" fontId="0" fillId="0" borderId="3" xfId="0" applyNumberFormat="1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Fill="1" applyBorder="1">
      <alignment vertical="center"/>
    </xf>
    <xf numFmtId="0" fontId="0" fillId="4" borderId="3" xfId="0" applyFill="1" applyBorder="1">
      <alignment vertical="center"/>
    </xf>
  </cellXfs>
  <cellStyles count="2">
    <cellStyle name="標準" xfId="0" builtinId="0"/>
    <cellStyle name="標準_Language_Set" xfId="1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ygwin/home/kohzu/10spring/FONT_HD/&#25991;&#23383;&#21015;&#33258;&#21205;&#22793;&#25563;_V3.0.9F&#35299;&#20307;&#200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【履歴】"/>
      <sheetName val="プリフィクス設定"/>
      <sheetName val="設定シート"/>
      <sheetName val="合字コード変換"/>
      <sheetName val="DVC_CODE"/>
      <sheetName val="ファイル出力"/>
      <sheetName val="アラビア・ペルシャ確認用"/>
      <sheetName val="ArPe_NG"/>
      <sheetName val="Arabic_Set"/>
      <sheetName val="Persian_Set"/>
      <sheetName val="Mirrored"/>
      <sheetName val="【付録】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1"/>
  <sheetViews>
    <sheetView tabSelected="1" workbookViewId="0">
      <selection activeCell="D14" sqref="D14"/>
    </sheetView>
  </sheetViews>
  <sheetFormatPr defaultRowHeight="13.5"/>
  <cols>
    <col min="3" max="3" width="45.5" customWidth="1"/>
    <col min="4" max="4" width="12.125" customWidth="1"/>
  </cols>
  <sheetData>
    <row r="2" spans="2:5">
      <c r="B2" s="7" t="s">
        <v>4</v>
      </c>
      <c r="C2" s="8" t="s">
        <v>5</v>
      </c>
      <c r="D2" s="8" t="s">
        <v>6</v>
      </c>
      <c r="E2" s="8" t="s">
        <v>7</v>
      </c>
    </row>
    <row r="3" spans="2:5">
      <c r="B3" s="9" t="s">
        <v>111</v>
      </c>
      <c r="C3" s="4" t="s">
        <v>8</v>
      </c>
      <c r="D3" s="10"/>
      <c r="E3" s="4" t="s">
        <v>9</v>
      </c>
    </row>
    <row r="4" spans="2:5">
      <c r="B4" s="9" t="s">
        <v>112</v>
      </c>
      <c r="C4" s="4" t="s">
        <v>113</v>
      </c>
      <c r="D4" s="10">
        <v>40582</v>
      </c>
      <c r="E4" s="4" t="s">
        <v>9</v>
      </c>
    </row>
    <row r="5" spans="2:5">
      <c r="B5" s="9" t="s">
        <v>114</v>
      </c>
      <c r="C5" s="4" t="s">
        <v>115</v>
      </c>
      <c r="D5" s="10">
        <v>40816</v>
      </c>
      <c r="E5" s="4" t="s">
        <v>9</v>
      </c>
    </row>
    <row r="6" spans="2:5" ht="27">
      <c r="B6" s="9" t="s">
        <v>116</v>
      </c>
      <c r="C6" s="11" t="s">
        <v>117</v>
      </c>
      <c r="D6" s="10">
        <v>41326</v>
      </c>
      <c r="E6" s="4" t="s">
        <v>9</v>
      </c>
    </row>
    <row r="7" spans="2:5">
      <c r="B7" s="9" t="s">
        <v>118</v>
      </c>
      <c r="C7" s="11" t="s">
        <v>119</v>
      </c>
      <c r="D7" s="10">
        <v>41730</v>
      </c>
      <c r="E7" s="4" t="s">
        <v>9</v>
      </c>
    </row>
    <row r="8" spans="2:5">
      <c r="B8" s="9" t="s">
        <v>120</v>
      </c>
      <c r="C8" s="11" t="s">
        <v>121</v>
      </c>
      <c r="D8" s="10">
        <v>41779</v>
      </c>
      <c r="E8" s="4" t="s">
        <v>9</v>
      </c>
    </row>
    <row r="9" spans="2:5">
      <c r="B9" s="9" t="s">
        <v>122</v>
      </c>
      <c r="C9" s="11" t="s">
        <v>123</v>
      </c>
      <c r="D9" s="10">
        <v>41803</v>
      </c>
      <c r="E9" s="4" t="s">
        <v>9</v>
      </c>
    </row>
    <row r="10" spans="2:5">
      <c r="B10" s="9" t="s">
        <v>127</v>
      </c>
      <c r="C10" s="11" t="s">
        <v>128</v>
      </c>
      <c r="D10" s="10">
        <v>41810</v>
      </c>
      <c r="E10" s="4" t="s">
        <v>9</v>
      </c>
    </row>
    <row r="11" spans="2:5">
      <c r="B11" s="9" t="s">
        <v>130</v>
      </c>
      <c r="C11" s="11" t="s">
        <v>131</v>
      </c>
      <c r="D11" s="10">
        <v>41821</v>
      </c>
      <c r="E11" s="4" t="s">
        <v>9</v>
      </c>
    </row>
  </sheetData>
  <phoneticPr fontId="1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7"/>
  <sheetViews>
    <sheetView workbookViewId="0">
      <pane ySplit="1" topLeftCell="A6" activePane="bottomLeft" state="frozen"/>
      <selection pane="bottomLeft" activeCell="G22" sqref="G22"/>
    </sheetView>
  </sheetViews>
  <sheetFormatPr defaultRowHeight="13.5"/>
  <cols>
    <col min="1" max="1" width="7.5" bestFit="1" customWidth="1"/>
    <col min="2" max="2" width="13.375" bestFit="1" customWidth="1"/>
    <col min="3" max="3" width="5.125" bestFit="1" customWidth="1"/>
    <col min="4" max="4" width="7" customWidth="1"/>
    <col min="5" max="5" width="8.375" bestFit="1" customWidth="1"/>
    <col min="6" max="6" width="16.5" bestFit="1" customWidth="1"/>
    <col min="7" max="7" width="11.25" bestFit="1" customWidth="1"/>
  </cols>
  <sheetData>
    <row r="1" spans="1:7">
      <c r="A1" s="1" t="s">
        <v>10</v>
      </c>
      <c r="B1" s="1" t="s">
        <v>11</v>
      </c>
      <c r="C1" s="1" t="s">
        <v>40</v>
      </c>
      <c r="D1" s="1" t="s">
        <v>110</v>
      </c>
      <c r="E1" s="1" t="s">
        <v>12</v>
      </c>
      <c r="F1" s="1" t="s">
        <v>41</v>
      </c>
      <c r="G1" s="1" t="s">
        <v>13</v>
      </c>
    </row>
    <row r="2" spans="1:7">
      <c r="A2" s="2">
        <v>1</v>
      </c>
      <c r="B2" s="3" t="s">
        <v>14</v>
      </c>
      <c r="C2" s="3" t="s">
        <v>42</v>
      </c>
      <c r="D2" s="3">
        <v>1</v>
      </c>
      <c r="E2" s="2">
        <v>0</v>
      </c>
      <c r="F2" s="3" t="s">
        <v>43</v>
      </c>
      <c r="G2" s="3" t="s">
        <v>15</v>
      </c>
    </row>
    <row r="3" spans="1:7">
      <c r="A3" s="2">
        <v>2</v>
      </c>
      <c r="B3" s="3" t="s">
        <v>16</v>
      </c>
      <c r="C3" s="3" t="s">
        <v>44</v>
      </c>
      <c r="D3" s="3">
        <v>0</v>
      </c>
      <c r="E3" s="2">
        <v>1</v>
      </c>
      <c r="F3" s="3" t="s">
        <v>45</v>
      </c>
      <c r="G3" s="3" t="s">
        <v>46</v>
      </c>
    </row>
    <row r="4" spans="1:7">
      <c r="A4" s="2">
        <v>3</v>
      </c>
      <c r="B4" s="3" t="s">
        <v>17</v>
      </c>
      <c r="C4" s="3" t="s">
        <v>47</v>
      </c>
      <c r="D4" s="3">
        <v>0</v>
      </c>
      <c r="E4" s="2">
        <v>3</v>
      </c>
      <c r="F4" s="3" t="s">
        <v>48</v>
      </c>
      <c r="G4" s="3" t="s">
        <v>49</v>
      </c>
    </row>
    <row r="5" spans="1:7">
      <c r="A5" s="2">
        <v>4</v>
      </c>
      <c r="B5" s="3" t="s">
        <v>18</v>
      </c>
      <c r="C5" s="3" t="s">
        <v>50</v>
      </c>
      <c r="D5" s="3">
        <v>0</v>
      </c>
      <c r="E5" s="2">
        <v>4</v>
      </c>
      <c r="F5" s="3" t="s">
        <v>51</v>
      </c>
      <c r="G5" s="3" t="s">
        <v>52</v>
      </c>
    </row>
    <row r="6" spans="1:7">
      <c r="A6" s="2">
        <v>5</v>
      </c>
      <c r="B6" s="3" t="s">
        <v>19</v>
      </c>
      <c r="C6" s="3" t="s">
        <v>53</v>
      </c>
      <c r="D6" s="3">
        <v>0</v>
      </c>
      <c r="E6" s="2">
        <v>6</v>
      </c>
      <c r="F6" s="3" t="s">
        <v>54</v>
      </c>
      <c r="G6" s="3" t="s">
        <v>55</v>
      </c>
    </row>
    <row r="7" spans="1:7">
      <c r="A7" s="2">
        <v>6</v>
      </c>
      <c r="B7" s="3" t="s">
        <v>20</v>
      </c>
      <c r="C7" s="3" t="s">
        <v>56</v>
      </c>
      <c r="D7" s="3">
        <v>0</v>
      </c>
      <c r="E7" s="2">
        <v>7</v>
      </c>
      <c r="F7" s="3" t="s">
        <v>57</v>
      </c>
      <c r="G7" s="3" t="s">
        <v>58</v>
      </c>
    </row>
    <row r="8" spans="1:7">
      <c r="A8" s="2">
        <v>7</v>
      </c>
      <c r="B8" s="3" t="s">
        <v>21</v>
      </c>
      <c r="C8" s="3" t="s">
        <v>59</v>
      </c>
      <c r="D8" s="3">
        <v>0</v>
      </c>
      <c r="E8" s="2">
        <v>9</v>
      </c>
      <c r="F8" s="3" t="s">
        <v>60</v>
      </c>
      <c r="G8" s="3" t="s">
        <v>61</v>
      </c>
    </row>
    <row r="9" spans="1:7">
      <c r="A9" s="2">
        <v>8</v>
      </c>
      <c r="B9" s="3" t="s">
        <v>22</v>
      </c>
      <c r="C9" s="3" t="s">
        <v>62</v>
      </c>
      <c r="D9" s="3">
        <v>0</v>
      </c>
      <c r="E9" s="2">
        <v>10</v>
      </c>
      <c r="F9" s="3" t="s">
        <v>63</v>
      </c>
      <c r="G9" s="3" t="s">
        <v>64</v>
      </c>
    </row>
    <row r="10" spans="1:7">
      <c r="A10" s="2">
        <v>9</v>
      </c>
      <c r="B10" s="3" t="s">
        <v>23</v>
      </c>
      <c r="C10" s="3" t="s">
        <v>65</v>
      </c>
      <c r="D10" s="3">
        <v>0</v>
      </c>
      <c r="E10" s="2">
        <v>11</v>
      </c>
      <c r="F10" s="3" t="s">
        <v>66</v>
      </c>
      <c r="G10" s="3" t="s">
        <v>67</v>
      </c>
    </row>
    <row r="11" spans="1:7">
      <c r="A11" s="2">
        <v>10</v>
      </c>
      <c r="B11" s="3" t="s">
        <v>24</v>
      </c>
      <c r="C11" s="3" t="s">
        <v>68</v>
      </c>
      <c r="D11" s="3">
        <v>0</v>
      </c>
      <c r="E11" s="2">
        <v>19</v>
      </c>
      <c r="F11" s="3" t="s">
        <v>69</v>
      </c>
      <c r="G11" s="3" t="s">
        <v>70</v>
      </c>
    </row>
    <row r="12" spans="1:7">
      <c r="A12" s="2">
        <v>11</v>
      </c>
      <c r="B12" s="3" t="s">
        <v>25</v>
      </c>
      <c r="C12" s="3" t="s">
        <v>71</v>
      </c>
      <c r="D12" s="3">
        <v>6</v>
      </c>
      <c r="E12" s="2">
        <v>20</v>
      </c>
      <c r="F12" s="3" t="s">
        <v>72</v>
      </c>
      <c r="G12" s="3" t="s">
        <v>73</v>
      </c>
    </row>
    <row r="13" spans="1:7">
      <c r="A13" s="2">
        <v>12</v>
      </c>
      <c r="B13" s="3" t="s">
        <v>26</v>
      </c>
      <c r="C13" s="3" t="s">
        <v>74</v>
      </c>
      <c r="D13" s="3">
        <v>7</v>
      </c>
      <c r="E13" s="2">
        <v>21</v>
      </c>
      <c r="F13" s="3" t="s">
        <v>75</v>
      </c>
      <c r="G13" s="3" t="s">
        <v>76</v>
      </c>
    </row>
    <row r="14" spans="1:7">
      <c r="A14" s="2">
        <v>13</v>
      </c>
      <c r="B14" s="3" t="s">
        <v>27</v>
      </c>
      <c r="C14" s="3" t="s">
        <v>77</v>
      </c>
      <c r="D14" s="3">
        <v>2</v>
      </c>
      <c r="E14" s="2">
        <v>16</v>
      </c>
      <c r="F14" s="3" t="s">
        <v>78</v>
      </c>
      <c r="G14" s="3" t="s">
        <v>79</v>
      </c>
    </row>
    <row r="15" spans="1:7">
      <c r="A15" s="2">
        <v>14</v>
      </c>
      <c r="B15" s="3" t="s">
        <v>28</v>
      </c>
      <c r="C15" s="3" t="s">
        <v>80</v>
      </c>
      <c r="D15" s="3">
        <v>3</v>
      </c>
      <c r="E15" s="2">
        <v>17</v>
      </c>
      <c r="F15" s="3" t="s">
        <v>81</v>
      </c>
      <c r="G15" s="3" t="s">
        <v>79</v>
      </c>
    </row>
    <row r="16" spans="1:7">
      <c r="A16" s="2">
        <v>15</v>
      </c>
      <c r="B16" s="3" t="s">
        <v>29</v>
      </c>
      <c r="C16" s="3" t="s">
        <v>82</v>
      </c>
      <c r="D16" s="3">
        <v>5</v>
      </c>
      <c r="E16" s="2">
        <v>13</v>
      </c>
      <c r="F16" s="3" t="s">
        <v>83</v>
      </c>
      <c r="G16" s="3" t="s">
        <v>84</v>
      </c>
    </row>
    <row r="17" spans="1:7">
      <c r="A17" s="2">
        <v>16</v>
      </c>
      <c r="B17" s="3" t="s">
        <v>30</v>
      </c>
      <c r="C17" s="3" t="s">
        <v>85</v>
      </c>
      <c r="D17" s="3">
        <v>0</v>
      </c>
      <c r="E17" s="2">
        <v>12</v>
      </c>
      <c r="F17" s="3" t="s">
        <v>86</v>
      </c>
      <c r="G17" s="3" t="s">
        <v>87</v>
      </c>
    </row>
    <row r="18" spans="1:7">
      <c r="A18" s="2">
        <v>17</v>
      </c>
      <c r="B18" s="3" t="s">
        <v>31</v>
      </c>
      <c r="C18" s="3" t="s">
        <v>88</v>
      </c>
      <c r="D18" s="3">
        <v>5</v>
      </c>
      <c r="E18" s="2">
        <v>14</v>
      </c>
      <c r="F18" s="3" t="s">
        <v>89</v>
      </c>
      <c r="G18" s="3" t="s">
        <v>90</v>
      </c>
    </row>
    <row r="19" spans="1:7">
      <c r="A19" s="2">
        <v>18</v>
      </c>
      <c r="B19" s="3" t="s">
        <v>32</v>
      </c>
      <c r="C19" s="3" t="s">
        <v>91</v>
      </c>
      <c r="D19" s="3">
        <v>4</v>
      </c>
      <c r="E19" s="2">
        <v>15</v>
      </c>
      <c r="F19" s="3" t="s">
        <v>92</v>
      </c>
      <c r="G19" s="3" t="s">
        <v>93</v>
      </c>
    </row>
    <row r="20" spans="1:7">
      <c r="A20" s="2">
        <v>19</v>
      </c>
      <c r="B20" s="3" t="s">
        <v>33</v>
      </c>
      <c r="C20" s="3" t="s">
        <v>94</v>
      </c>
      <c r="D20" s="3">
        <v>0</v>
      </c>
      <c r="E20" s="2">
        <v>5</v>
      </c>
      <c r="F20" s="3" t="s">
        <v>95</v>
      </c>
      <c r="G20" s="3" t="s">
        <v>52</v>
      </c>
    </row>
    <row r="21" spans="1:7">
      <c r="A21" s="2">
        <v>20</v>
      </c>
      <c r="B21" s="3" t="s">
        <v>34</v>
      </c>
      <c r="C21" s="3" t="s">
        <v>96</v>
      </c>
      <c r="D21" s="3">
        <v>0</v>
      </c>
      <c r="E21" s="2">
        <v>2</v>
      </c>
      <c r="F21" s="3" t="s">
        <v>97</v>
      </c>
      <c r="G21" s="3" t="s">
        <v>46</v>
      </c>
    </row>
    <row r="22" spans="1:7">
      <c r="A22" s="2">
        <v>21</v>
      </c>
      <c r="B22" s="3" t="s">
        <v>35</v>
      </c>
      <c r="C22" s="3" t="s">
        <v>98</v>
      </c>
      <c r="D22" s="3">
        <v>0</v>
      </c>
      <c r="E22" s="2">
        <v>8</v>
      </c>
      <c r="F22" s="3" t="s">
        <v>99</v>
      </c>
      <c r="G22" s="3" t="s">
        <v>58</v>
      </c>
    </row>
    <row r="23" spans="1:7">
      <c r="A23" s="2">
        <v>22</v>
      </c>
      <c r="B23" s="3" t="s">
        <v>36</v>
      </c>
      <c r="C23" s="3" t="s">
        <v>100</v>
      </c>
      <c r="D23" s="3">
        <v>0</v>
      </c>
      <c r="E23" s="2">
        <v>18</v>
      </c>
      <c r="F23" s="3" t="s">
        <v>101</v>
      </c>
      <c r="G23" s="3" t="s">
        <v>79</v>
      </c>
    </row>
    <row r="24" spans="1:7">
      <c r="A24" s="2">
        <v>23</v>
      </c>
      <c r="B24" s="3" t="s">
        <v>37</v>
      </c>
      <c r="C24" s="3" t="s">
        <v>102</v>
      </c>
      <c r="D24" s="3">
        <v>0</v>
      </c>
      <c r="E24" s="2">
        <v>23</v>
      </c>
      <c r="F24" s="3" t="s">
        <v>103</v>
      </c>
      <c r="G24" s="3" t="s">
        <v>104</v>
      </c>
    </row>
    <row r="25" spans="1:7">
      <c r="A25" s="2">
        <v>25</v>
      </c>
      <c r="B25" s="3" t="s">
        <v>38</v>
      </c>
      <c r="C25" s="3" t="s">
        <v>105</v>
      </c>
      <c r="D25" s="3">
        <v>0</v>
      </c>
      <c r="E25" s="2">
        <v>22</v>
      </c>
      <c r="F25" s="3" t="s">
        <v>106</v>
      </c>
      <c r="G25" s="3" t="s">
        <v>46</v>
      </c>
    </row>
    <row r="26" spans="1:7">
      <c r="A26" s="2">
        <v>26</v>
      </c>
      <c r="B26" s="3" t="s">
        <v>39</v>
      </c>
      <c r="C26" s="3" t="s">
        <v>107</v>
      </c>
      <c r="D26" s="3">
        <v>0</v>
      </c>
      <c r="E26" s="2">
        <v>24</v>
      </c>
      <c r="F26" s="3" t="s">
        <v>108</v>
      </c>
      <c r="G26" s="3" t="s">
        <v>109</v>
      </c>
    </row>
    <row r="27" spans="1:7">
      <c r="A27" s="5">
        <v>27</v>
      </c>
      <c r="B27" s="6" t="s">
        <v>0</v>
      </c>
      <c r="C27" s="6" t="s">
        <v>1</v>
      </c>
      <c r="D27" s="6">
        <v>0</v>
      </c>
      <c r="E27" s="5">
        <v>25</v>
      </c>
      <c r="F27" s="6" t="s">
        <v>2</v>
      </c>
      <c r="G27" s="6" t="s">
        <v>3</v>
      </c>
    </row>
  </sheetData>
  <sheetProtection sheet="1" objects="1" scenarios="1"/>
  <phoneticPr fontId="1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C9" sqref="C9"/>
    </sheetView>
  </sheetViews>
  <sheetFormatPr defaultRowHeight="13.5"/>
  <cols>
    <col min="2" max="2" width="12.125" customWidth="1"/>
    <col min="3" max="3" width="11" customWidth="1"/>
    <col min="6" max="6" width="14.25" customWidth="1"/>
  </cols>
  <sheetData>
    <row r="1" spans="1:4">
      <c r="A1" s="4" t="s">
        <v>124</v>
      </c>
      <c r="B1" s="4" t="s">
        <v>125</v>
      </c>
      <c r="C1" s="4" t="s">
        <v>126</v>
      </c>
    </row>
    <row r="2" spans="1:4">
      <c r="A2" s="13">
        <v>22</v>
      </c>
      <c r="B2" s="12">
        <f>INT(A2*0.8)</f>
        <v>17</v>
      </c>
      <c r="C2" s="12">
        <f>INT(A2*0.8*0.8)</f>
        <v>14</v>
      </c>
      <c r="D2" t="s">
        <v>129</v>
      </c>
    </row>
    <row r="3" spans="1:4">
      <c r="A3" s="4">
        <v>40</v>
      </c>
      <c r="B3" s="12">
        <f t="shared" ref="B3:B8" si="0">INT(A3*0.8)</f>
        <v>32</v>
      </c>
      <c r="C3" s="12">
        <f t="shared" ref="C3:C8" si="1">INT(A3*0.8*0.8)</f>
        <v>25</v>
      </c>
    </row>
    <row r="4" spans="1:4">
      <c r="A4" s="4">
        <v>25</v>
      </c>
      <c r="B4" s="12">
        <f t="shared" si="0"/>
        <v>20</v>
      </c>
      <c r="C4" s="12">
        <f t="shared" si="1"/>
        <v>16</v>
      </c>
    </row>
    <row r="5" spans="1:4">
      <c r="A5" s="4">
        <v>22</v>
      </c>
      <c r="B5" s="12">
        <f t="shared" si="0"/>
        <v>17</v>
      </c>
      <c r="C5" s="12">
        <f t="shared" si="1"/>
        <v>14</v>
      </c>
    </row>
    <row r="6" spans="1:4">
      <c r="A6" s="4">
        <v>18</v>
      </c>
      <c r="B6" s="12">
        <f t="shared" si="0"/>
        <v>14</v>
      </c>
      <c r="C6" s="12">
        <f t="shared" si="1"/>
        <v>11</v>
      </c>
    </row>
    <row r="7" spans="1:4">
      <c r="A7" s="4">
        <v>14</v>
      </c>
      <c r="B7" s="12">
        <f t="shared" si="0"/>
        <v>11</v>
      </c>
      <c r="C7" s="12">
        <f t="shared" si="1"/>
        <v>8</v>
      </c>
    </row>
    <row r="8" spans="1:4">
      <c r="A8" s="4">
        <v>9</v>
      </c>
      <c r="B8" s="12">
        <f t="shared" si="0"/>
        <v>7</v>
      </c>
      <c r="C8" s="12">
        <f t="shared" si="1"/>
        <v>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Language_Set</vt:lpstr>
      <vt:lpstr>Parameter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kohzu</dc:creator>
  <cp:lastModifiedBy>全社標準ＰＣ</cp:lastModifiedBy>
  <dcterms:created xsi:type="dcterms:W3CDTF">2010-03-31T06:23:12Z</dcterms:created>
  <dcterms:modified xsi:type="dcterms:W3CDTF">2016-06-30T07:57:22Z</dcterms:modified>
</cp:coreProperties>
</file>